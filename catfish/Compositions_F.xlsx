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35" windowHeight="12360" activeTab="2"/>
  </bookViews>
  <sheets>
    <sheet name="Table S1" sheetId="1" r:id="rId1"/>
    <sheet name="Table S2" sheetId="2" r:id="rId2"/>
    <sheet name="Table S3" sheetId="7" r:id="rId3"/>
    <sheet name="Compositions" sheetId="3" r:id="rId4"/>
    <sheet name="Table 3" sheetId="6" r:id="rId5"/>
  </sheets>
  <calcPr calcId="144525"/>
</workbook>
</file>

<file path=xl/sharedStrings.xml><?xml version="1.0" encoding="utf-8"?>
<sst xmlns="http://schemas.openxmlformats.org/spreadsheetml/2006/main" count="1030" uniqueCount="275">
  <si>
    <t>Location</t>
  </si>
  <si>
    <t>Sample_no</t>
  </si>
  <si>
    <t>Sample_type</t>
  </si>
  <si>
    <t>Filter_size</t>
  </si>
  <si>
    <t>Volume</t>
  </si>
  <si>
    <t>WA_assay</t>
  </si>
  <si>
    <t>WA_comp</t>
  </si>
  <si>
    <t>RV_assay</t>
  </si>
  <si>
    <t>RV_comp</t>
  </si>
  <si>
    <t>WV_assay</t>
  </si>
  <si>
    <t>WV_comp</t>
  </si>
  <si>
    <t>Otamarae</t>
  </si>
  <si>
    <t>521057</t>
  </si>
  <si>
    <t xml:space="preserve">Sample </t>
  </si>
  <si>
    <t>1.2 µm</t>
  </si>
  <si>
    <t>521066</t>
  </si>
  <si>
    <t>Sample</t>
  </si>
  <si>
    <t>521051</t>
  </si>
  <si>
    <t>521048</t>
  </si>
  <si>
    <t>521053</t>
  </si>
  <si>
    <t>521049</t>
  </si>
  <si>
    <t>Control</t>
  </si>
  <si>
    <t>700792</t>
  </si>
  <si>
    <t>5 µm</t>
  </si>
  <si>
    <t>700793</t>
  </si>
  <si>
    <t>700794</t>
  </si>
  <si>
    <t>700795</t>
  </si>
  <si>
    <t>700796</t>
  </si>
  <si>
    <t>700791</t>
  </si>
  <si>
    <t>405191</t>
  </si>
  <si>
    <t>Dacron</t>
  </si>
  <si>
    <t>405192</t>
  </si>
  <si>
    <t>405193</t>
  </si>
  <si>
    <t>405195</t>
  </si>
  <si>
    <t>405196</t>
  </si>
  <si>
    <t>405194</t>
  </si>
  <si>
    <t>TeWetaBay</t>
  </si>
  <si>
    <t>521046</t>
  </si>
  <si>
    <t>521068</t>
  </si>
  <si>
    <t>521056</t>
  </si>
  <si>
    <t>521070</t>
  </si>
  <si>
    <t>521065</t>
  </si>
  <si>
    <t>521054</t>
  </si>
  <si>
    <t>700711</t>
  </si>
  <si>
    <t>700712</t>
  </si>
  <si>
    <t>700714</t>
  </si>
  <si>
    <t>700715</t>
  </si>
  <si>
    <t>700716</t>
  </si>
  <si>
    <t>700713</t>
  </si>
  <si>
    <t>405171</t>
  </si>
  <si>
    <t>405173</t>
  </si>
  <si>
    <t>405174</t>
  </si>
  <si>
    <t>405175</t>
  </si>
  <si>
    <t>405176</t>
  </si>
  <si>
    <t>405172</t>
  </si>
  <si>
    <t>OkawaBay</t>
  </si>
  <si>
    <t>521058</t>
  </si>
  <si>
    <t>521040</t>
  </si>
  <si>
    <t>521042</t>
  </si>
  <si>
    <t>521045</t>
  </si>
  <si>
    <t>521067</t>
  </si>
  <si>
    <t>521059</t>
  </si>
  <si>
    <t>700723</t>
  </si>
  <si>
    <t>700724</t>
  </si>
  <si>
    <t>700725</t>
  </si>
  <si>
    <t>700726</t>
  </si>
  <si>
    <t>405181</t>
  </si>
  <si>
    <t>405182</t>
  </si>
  <si>
    <t>405183</t>
  </si>
  <si>
    <t>405185</t>
  </si>
  <si>
    <t>405186</t>
  </si>
  <si>
    <t>405184</t>
  </si>
  <si>
    <t>DeltaBoatRamp</t>
  </si>
  <si>
    <t>511170</t>
  </si>
  <si>
    <t>511167</t>
  </si>
  <si>
    <t>511169</t>
  </si>
  <si>
    <t>511171</t>
  </si>
  <si>
    <t>511168</t>
  </si>
  <si>
    <t>511166</t>
  </si>
  <si>
    <t>700742</t>
  </si>
  <si>
    <t>700743</t>
  </si>
  <si>
    <t>700744</t>
  </si>
  <si>
    <t>700745</t>
  </si>
  <si>
    <t>700746</t>
  </si>
  <si>
    <t>700741</t>
  </si>
  <si>
    <t>405201</t>
  </si>
  <si>
    <t>405203</t>
  </si>
  <si>
    <t>405204</t>
  </si>
  <si>
    <t>405205</t>
  </si>
  <si>
    <t>405206</t>
  </si>
  <si>
    <t>405202</t>
  </si>
  <si>
    <t>OhauChannelMouth</t>
  </si>
  <si>
    <t>521064</t>
  </si>
  <si>
    <t>521060</t>
  </si>
  <si>
    <t>521052</t>
  </si>
  <si>
    <t>521062</t>
  </si>
  <si>
    <t>521061</t>
  </si>
  <si>
    <t>521063</t>
  </si>
  <si>
    <t>700761</t>
  </si>
  <si>
    <t>700762</t>
  </si>
  <si>
    <t>700763</t>
  </si>
  <si>
    <t>700764</t>
  </si>
  <si>
    <t>700766</t>
  </si>
  <si>
    <t>700765</t>
  </si>
  <si>
    <t>405161</t>
  </si>
  <si>
    <t>405163</t>
  </si>
  <si>
    <t>405164</t>
  </si>
  <si>
    <t>405165</t>
  </si>
  <si>
    <t>405166</t>
  </si>
  <si>
    <t>405162</t>
  </si>
  <si>
    <t>LakeOkareka</t>
  </si>
  <si>
    <t>700661</t>
  </si>
  <si>
    <t>700663</t>
  </si>
  <si>
    <t>700664</t>
  </si>
  <si>
    <t>700665</t>
  </si>
  <si>
    <t>700666</t>
  </si>
  <si>
    <t>700662</t>
  </si>
  <si>
    <t>700732</t>
  </si>
  <si>
    <t>700733</t>
  </si>
  <si>
    <t>700734</t>
  </si>
  <si>
    <t>700735</t>
  </si>
  <si>
    <t>700736</t>
  </si>
  <si>
    <t>700731</t>
  </si>
  <si>
    <t>405221</t>
  </si>
  <si>
    <t>405222</t>
  </si>
  <si>
    <t>405223</t>
  </si>
  <si>
    <t>405224</t>
  </si>
  <si>
    <t>405225</t>
  </si>
  <si>
    <t>405226</t>
  </si>
  <si>
    <t>Oranga-Knighton1</t>
  </si>
  <si>
    <t>521050</t>
  </si>
  <si>
    <t>700691</t>
  </si>
  <si>
    <t>700692</t>
  </si>
  <si>
    <t>700693</t>
  </si>
  <si>
    <t>700694</t>
  </si>
  <si>
    <t>700695</t>
  </si>
  <si>
    <t>700696</t>
  </si>
  <si>
    <t>715701</t>
  </si>
  <si>
    <t>715702</t>
  </si>
  <si>
    <t>715703</t>
  </si>
  <si>
    <t>715704</t>
  </si>
  <si>
    <t>715705</t>
  </si>
  <si>
    <t>715706</t>
  </si>
  <si>
    <t>Oranga-Knighton2</t>
  </si>
  <si>
    <t>700681</t>
  </si>
  <si>
    <t>700682</t>
  </si>
  <si>
    <t>700683</t>
  </si>
  <si>
    <t>700684</t>
  </si>
  <si>
    <t>700685</t>
  </si>
  <si>
    <t>700686</t>
  </si>
  <si>
    <t>715731</t>
  </si>
  <si>
    <t>715732</t>
  </si>
  <si>
    <t>715733</t>
  </si>
  <si>
    <t>715734</t>
  </si>
  <si>
    <t>715735</t>
  </si>
  <si>
    <t>715736</t>
  </si>
  <si>
    <t>Oranga-Knighton3</t>
  </si>
  <si>
    <t>700651</t>
  </si>
  <si>
    <t>700652</t>
  </si>
  <si>
    <t>700653</t>
  </si>
  <si>
    <t>700654</t>
  </si>
  <si>
    <t>700655</t>
  </si>
  <si>
    <t>700656</t>
  </si>
  <si>
    <t>715681</t>
  </si>
  <si>
    <t>715682</t>
  </si>
  <si>
    <t>715683</t>
  </si>
  <si>
    <t>715684</t>
  </si>
  <si>
    <t>715685</t>
  </si>
  <si>
    <t>715686</t>
  </si>
  <si>
    <t>Oranga-Knighton4</t>
  </si>
  <si>
    <t>700671</t>
  </si>
  <si>
    <t>700672</t>
  </si>
  <si>
    <t>700673</t>
  </si>
  <si>
    <t>700674</t>
  </si>
  <si>
    <t>700675</t>
  </si>
  <si>
    <t>700676</t>
  </si>
  <si>
    <t>715721</t>
  </si>
  <si>
    <t>715722</t>
  </si>
  <si>
    <t>715723</t>
  </si>
  <si>
    <t>715724</t>
  </si>
  <si>
    <t>715725</t>
  </si>
  <si>
    <t>715726</t>
  </si>
  <si>
    <t>Oranga-Knighton5</t>
  </si>
  <si>
    <t>521037</t>
  </si>
  <si>
    <t>521038</t>
  </si>
  <si>
    <t>521043</t>
  </si>
  <si>
    <t>521036</t>
  </si>
  <si>
    <t>521034</t>
  </si>
  <si>
    <t>521035</t>
  </si>
  <si>
    <t>715711</t>
  </si>
  <si>
    <t>715712</t>
  </si>
  <si>
    <t>715713</t>
  </si>
  <si>
    <t>715714</t>
  </si>
  <si>
    <t>715715</t>
  </si>
  <si>
    <t>715716</t>
  </si>
  <si>
    <t>DETECTION - number</t>
  </si>
  <si>
    <t>WA_1.2</t>
  </si>
  <si>
    <t>WA_5</t>
  </si>
  <si>
    <t>WA_Dac</t>
  </si>
  <si>
    <t>RV_1.2</t>
  </si>
  <si>
    <t>RV_5</t>
  </si>
  <si>
    <t>RV_Dac</t>
  </si>
  <si>
    <t>WV_1.2</t>
  </si>
  <si>
    <t>WV_5</t>
  </si>
  <si>
    <t>WV_Dac</t>
  </si>
  <si>
    <t>5/5</t>
  </si>
  <si>
    <t>4/5</t>
  </si>
  <si>
    <t>3/5</t>
  </si>
  <si>
    <t>0/5</t>
  </si>
  <si>
    <r>
      <rPr>
        <b/>
        <sz val="1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>/5</t>
    </r>
  </si>
  <si>
    <t>2/5</t>
  </si>
  <si>
    <t>6/6</t>
  </si>
  <si>
    <t>NA</t>
  </si>
  <si>
    <t>5/6</t>
  </si>
  <si>
    <t>4/6</t>
  </si>
  <si>
    <t>TOTAL DETECTIONS</t>
  </si>
  <si>
    <t xml:space="preserve">Assay </t>
  </si>
  <si>
    <t>Result</t>
  </si>
  <si>
    <t>Total</t>
  </si>
  <si>
    <t>Proportions</t>
  </si>
  <si>
    <t>All</t>
  </si>
  <si>
    <t>Positive</t>
  </si>
  <si>
    <t>False Negative</t>
  </si>
  <si>
    <t>WA</t>
  </si>
  <si>
    <t>RV</t>
  </si>
  <si>
    <t>WV</t>
  </si>
  <si>
    <t>Sample type</t>
  </si>
  <si>
    <t>Catfish</t>
  </si>
  <si>
    <t>Brown trout</t>
  </si>
  <si>
    <t>Common bully</t>
  </si>
  <si>
    <t>Common smelt</t>
  </si>
  <si>
    <t>Gambusia</t>
  </si>
  <si>
    <t>Goldfish</t>
  </si>
  <si>
    <t xml:space="preserve">Kōaro </t>
  </si>
  <si>
    <t>Kōura</t>
  </si>
  <si>
    <t>Koi carp</t>
  </si>
  <si>
    <t>Longfin eel</t>
  </si>
  <si>
    <t>Rainbow trout</t>
  </si>
  <si>
    <t>Rudd</t>
  </si>
  <si>
    <t>Shortfin eel</t>
  </si>
  <si>
    <t>Snapper</t>
  </si>
  <si>
    <t>Lake Okareka</t>
  </si>
  <si>
    <t>eDNA</t>
  </si>
  <si>
    <t>y</t>
  </si>
  <si>
    <t>Net</t>
  </si>
  <si>
    <t>Delta Boat Ramp</t>
  </si>
  <si>
    <t>~1,500</t>
  </si>
  <si>
    <t>Okawa Bay</t>
  </si>
  <si>
    <t>Ohau Channel Mouth</t>
  </si>
  <si>
    <t>~1,000</t>
  </si>
  <si>
    <t>&gt; 300</t>
  </si>
  <si>
    <t>Te Weta Bay</t>
  </si>
  <si>
    <t>Oranga-Knighton 1</t>
  </si>
  <si>
    <t>Oranga-Knighton 2</t>
  </si>
  <si>
    <t>Oranga-Knighton 3</t>
  </si>
  <si>
    <t>Oranga-Knighton 4</t>
  </si>
  <si>
    <t>Oranga-Knighton 5</t>
  </si>
  <si>
    <t>Pore size</t>
  </si>
  <si>
    <t>Total catch</t>
  </si>
  <si>
    <t>Total Biomass</t>
  </si>
  <si>
    <t>CPUE</t>
  </si>
  <si>
    <t>BPUE</t>
  </si>
  <si>
    <t>Rotoiti; r,P</t>
  </si>
  <si>
    <t>WAFine</t>
  </si>
  <si>
    <t>WACoarse</t>
  </si>
  <si>
    <t>WADacron</t>
  </si>
  <si>
    <t>WVFine</t>
  </si>
  <si>
    <t>WVCoarse</t>
  </si>
  <si>
    <t>WVDacron</t>
  </si>
  <si>
    <t>RVFine</t>
  </si>
  <si>
    <t>RVCoarse</t>
  </si>
  <si>
    <t>RVDacron</t>
  </si>
  <si>
    <t>Historic</t>
  </si>
  <si>
    <t>Biomass</t>
  </si>
  <si>
    <t>Oranga, r,P</t>
  </si>
</sst>
</file>

<file path=xl/styles.xml><?xml version="1.0" encoding="utf-8"?>
<styleSheet xmlns="http://schemas.openxmlformats.org/spreadsheetml/2006/main">
  <numFmts count="8">
    <numFmt numFmtId="176" formatCode="0.0_ "/>
    <numFmt numFmtId="177" formatCode="0_ "/>
    <numFmt numFmtId="178" formatCode="0.00000_ "/>
    <numFmt numFmtId="44" formatCode="_-&quot;$&quot;* #,##0.00_-;\-&quot;$&quot;* #,##0.00_-;_-&quot;$&quot;* &quot;-&quot;??_-;_-@_-"/>
    <numFmt numFmtId="43" formatCode="_-* #,##0.00_-;\-* #,##0.00_-;_-* &quot;-&quot;??_-;_-@_-"/>
    <numFmt numFmtId="41" formatCode="_-* #,##0_-;\-* #,##0_-;_-* &quot;-&quot;_-;_-@_-"/>
    <numFmt numFmtId="179" formatCode="0.00_ "/>
    <numFmt numFmtId="42" formatCode="_-&quot;$&quot;* #,##0_-;\-&quot;$&quot;* #,##0_-;_-&quot;$&quot;* &quot;-&quot;_-;_-@_-"/>
  </numFmts>
  <fonts count="26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8" fillId="19" borderId="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5" borderId="2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28" borderId="7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179" fontId="0" fillId="0" borderId="0" xfId="0" applyNumberForma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4" fillId="0" borderId="0" xfId="0" applyFont="1" applyFill="1" applyAlignment="1"/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center" vertical="center" textRotation="45"/>
    </xf>
    <xf numFmtId="0" fontId="3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textRotation="45"/>
    </xf>
    <xf numFmtId="177" fontId="0" fillId="0" borderId="0" xfId="0" applyNumberForma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0" fontId="4" fillId="0" borderId="0" xfId="0" applyFont="1" applyFill="1" applyAlignment="1">
      <alignment horizontal="left"/>
    </xf>
    <xf numFmtId="49" fontId="2" fillId="0" borderId="0" xfId="0" applyNumberFormat="1" applyFont="1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49" fontId="6" fillId="0" borderId="0" xfId="0" applyNumberFormat="1" applyFont="1" applyFill="1" applyAlignment="1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0"/>
  <sheetViews>
    <sheetView workbookViewId="0">
      <selection activeCell="A1" sqref="A1:K170"/>
    </sheetView>
  </sheetViews>
  <sheetFormatPr defaultColWidth="8.8" defaultRowHeight="15"/>
  <cols>
    <col min="1" max="1" width="17" customWidth="1"/>
    <col min="2" max="2" width="10.6" customWidth="1"/>
    <col min="3" max="3" width="12.4" customWidth="1"/>
    <col min="4" max="4" width="9.8" customWidth="1"/>
    <col min="5" max="5" width="7.7" style="4" customWidth="1"/>
    <col min="6" max="6" width="8.8" style="5"/>
    <col min="7" max="7" width="12.5" style="5"/>
    <col min="8" max="8" width="8.8" style="5"/>
    <col min="9" max="9" width="12.5" style="5"/>
    <col min="10" max="10" width="8.8" style="5"/>
    <col min="11" max="11" width="12.5" style="5"/>
    <col min="16" max="16" width="12.5"/>
    <col min="18" max="18" width="12.5"/>
    <col min="20" max="20" width="12.5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4">
        <v>1</v>
      </c>
      <c r="F2" s="5">
        <v>1202</v>
      </c>
      <c r="G2" s="5">
        <v>0.00106670358419504</v>
      </c>
      <c r="H2" s="5">
        <v>96</v>
      </c>
      <c r="I2" s="5">
        <v>0.000547039717362813</v>
      </c>
      <c r="J2" s="5">
        <v>20</v>
      </c>
      <c r="K2" s="5">
        <v>8.00640512409928e-5</v>
      </c>
    </row>
    <row r="3" spans="1:11">
      <c r="A3" t="s">
        <v>11</v>
      </c>
      <c r="B3" t="s">
        <v>15</v>
      </c>
      <c r="C3" t="s">
        <v>16</v>
      </c>
      <c r="D3" t="s">
        <v>14</v>
      </c>
      <c r="E3" s="4">
        <v>0.75</v>
      </c>
      <c r="F3" s="5">
        <v>1415</v>
      </c>
      <c r="G3" s="5">
        <v>0.00125572842898168</v>
      </c>
      <c r="H3" s="5">
        <v>70</v>
      </c>
      <c r="I3" s="5">
        <v>0.000398883127243718</v>
      </c>
      <c r="J3" s="5">
        <v>22</v>
      </c>
      <c r="K3" s="5">
        <v>8.80704563650921e-5</v>
      </c>
    </row>
    <row r="4" spans="1:11">
      <c r="A4" t="s">
        <v>11</v>
      </c>
      <c r="B4" t="s">
        <v>17</v>
      </c>
      <c r="C4" t="s">
        <v>13</v>
      </c>
      <c r="D4" t="s">
        <v>14</v>
      </c>
      <c r="E4" s="4">
        <v>1</v>
      </c>
      <c r="F4" s="5">
        <v>3083</v>
      </c>
      <c r="G4" s="5">
        <v>0.00273597932618411</v>
      </c>
      <c r="H4" s="5">
        <v>29</v>
      </c>
      <c r="I4" s="5">
        <v>0.000165251581286683</v>
      </c>
      <c r="J4" s="5">
        <v>43</v>
      </c>
      <c r="K4" s="5">
        <v>0.000172137710168134</v>
      </c>
    </row>
    <row r="5" spans="1:11">
      <c r="A5" t="s">
        <v>11</v>
      </c>
      <c r="B5" t="s">
        <v>18</v>
      </c>
      <c r="C5" t="s">
        <v>16</v>
      </c>
      <c r="D5" t="s">
        <v>14</v>
      </c>
      <c r="E5" s="4">
        <v>1</v>
      </c>
      <c r="F5" s="5">
        <v>2418</v>
      </c>
      <c r="G5" s="5">
        <v>0.00214583133659202</v>
      </c>
      <c r="H5" s="5">
        <v>68</v>
      </c>
      <c r="I5" s="5">
        <v>0.000387486466465326</v>
      </c>
      <c r="J5" s="5">
        <v>100</v>
      </c>
      <c r="K5" s="5">
        <v>0.000400320256204964</v>
      </c>
    </row>
    <row r="6" spans="1:11">
      <c r="A6" t="s">
        <v>11</v>
      </c>
      <c r="B6" t="s">
        <v>19</v>
      </c>
      <c r="C6" t="s">
        <v>16</v>
      </c>
      <c r="D6" t="s">
        <v>14</v>
      </c>
      <c r="E6" s="4">
        <v>1</v>
      </c>
      <c r="F6" s="5">
        <v>2680</v>
      </c>
      <c r="G6" s="5">
        <v>0.00237834077008544</v>
      </c>
      <c r="H6" s="5">
        <v>6</v>
      </c>
      <c r="I6" s="5">
        <v>3.41899823351758e-5</v>
      </c>
      <c r="J6" s="5">
        <v>0</v>
      </c>
      <c r="K6" s="5">
        <v>0</v>
      </c>
    </row>
    <row r="7" spans="1:11">
      <c r="A7" t="s">
        <v>11</v>
      </c>
      <c r="B7" t="s">
        <v>20</v>
      </c>
      <c r="C7" t="s">
        <v>21</v>
      </c>
      <c r="D7" t="s">
        <v>14</v>
      </c>
      <c r="E7" s="4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</row>
    <row r="8" spans="1:11">
      <c r="A8" t="s">
        <v>11</v>
      </c>
      <c r="B8" t="s">
        <v>22</v>
      </c>
      <c r="C8" t="s">
        <v>13</v>
      </c>
      <c r="D8" t="s">
        <v>23</v>
      </c>
      <c r="E8" s="4">
        <v>1</v>
      </c>
      <c r="F8" s="5">
        <v>1759</v>
      </c>
      <c r="G8" s="5">
        <v>0.00156100799051504</v>
      </c>
      <c r="H8" s="5">
        <v>51</v>
      </c>
      <c r="I8" s="5">
        <v>0.000290614849848994</v>
      </c>
      <c r="J8" s="5">
        <v>0</v>
      </c>
      <c r="K8" s="5">
        <v>0</v>
      </c>
    </row>
    <row r="9" spans="1:11">
      <c r="A9" t="s">
        <v>11</v>
      </c>
      <c r="B9" t="s">
        <v>24</v>
      </c>
      <c r="C9" t="s">
        <v>16</v>
      </c>
      <c r="D9" t="s">
        <v>23</v>
      </c>
      <c r="E9" s="4">
        <v>1</v>
      </c>
      <c r="F9" s="5">
        <v>114</v>
      </c>
      <c r="G9" s="5">
        <v>0.000101168226787217</v>
      </c>
      <c r="H9" s="5">
        <v>15</v>
      </c>
      <c r="I9" s="5">
        <v>8.54749558379395e-5</v>
      </c>
      <c r="J9" s="5">
        <v>21</v>
      </c>
      <c r="K9" s="5">
        <v>8.40672538030424e-5</v>
      </c>
    </row>
    <row r="10" spans="1:11">
      <c r="A10" t="s">
        <v>11</v>
      </c>
      <c r="B10" t="s">
        <v>25</v>
      </c>
      <c r="C10" t="s">
        <v>16</v>
      </c>
      <c r="D10" t="s">
        <v>23</v>
      </c>
      <c r="E10" s="4">
        <v>1</v>
      </c>
      <c r="F10" s="5">
        <v>3077</v>
      </c>
      <c r="G10" s="5">
        <v>0.002730654682669</v>
      </c>
      <c r="H10" s="5">
        <v>68</v>
      </c>
      <c r="I10" s="5">
        <v>0.000387486466465326</v>
      </c>
      <c r="J10" s="5">
        <v>16</v>
      </c>
      <c r="K10" s="5">
        <v>6.40512409927942e-5</v>
      </c>
    </row>
    <row r="11" spans="1:11">
      <c r="A11" t="s">
        <v>11</v>
      </c>
      <c r="B11" t="s">
        <v>26</v>
      </c>
      <c r="C11" t="s">
        <v>16</v>
      </c>
      <c r="D11" t="s">
        <v>23</v>
      </c>
      <c r="E11" s="4">
        <v>1</v>
      </c>
      <c r="F11" s="5">
        <v>3811</v>
      </c>
      <c r="G11" s="5">
        <v>0.00338203607268493</v>
      </c>
      <c r="H11" s="5">
        <v>57</v>
      </c>
      <c r="I11" s="5">
        <v>0.00032480483218417</v>
      </c>
      <c r="J11" s="5">
        <v>21</v>
      </c>
      <c r="K11" s="5">
        <v>8.40672538030424e-5</v>
      </c>
    </row>
    <row r="12" spans="1:11">
      <c r="A12" t="s">
        <v>11</v>
      </c>
      <c r="B12" t="s">
        <v>27</v>
      </c>
      <c r="C12" t="s">
        <v>16</v>
      </c>
      <c r="D12" t="s">
        <v>23</v>
      </c>
      <c r="E12" s="4">
        <v>1</v>
      </c>
      <c r="F12" s="5">
        <v>2274</v>
      </c>
      <c r="G12" s="5">
        <v>0.00201803989222922</v>
      </c>
      <c r="H12" s="5">
        <v>15</v>
      </c>
      <c r="I12" s="5">
        <v>8.54749558379395e-5</v>
      </c>
      <c r="J12" s="5">
        <v>19</v>
      </c>
      <c r="K12" s="5">
        <v>7.60608486789431e-5</v>
      </c>
    </row>
    <row r="13" spans="1:11">
      <c r="A13" t="s">
        <v>11</v>
      </c>
      <c r="B13" t="s">
        <v>28</v>
      </c>
      <c r="C13" t="s">
        <v>21</v>
      </c>
      <c r="D13" t="s">
        <v>23</v>
      </c>
      <c r="E13" s="4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</row>
    <row r="14" spans="1:11">
      <c r="A14" t="s">
        <v>11</v>
      </c>
      <c r="B14" t="s">
        <v>29</v>
      </c>
      <c r="C14" t="s">
        <v>16</v>
      </c>
      <c r="D14" t="s">
        <v>30</v>
      </c>
      <c r="E14" s="4">
        <v>100</v>
      </c>
      <c r="F14" s="5">
        <v>178</v>
      </c>
      <c r="G14" s="5">
        <v>0.000157964424281794</v>
      </c>
      <c r="H14" s="5">
        <v>0</v>
      </c>
      <c r="I14" s="5">
        <v>0</v>
      </c>
      <c r="J14" s="5">
        <v>0</v>
      </c>
      <c r="K14" s="5">
        <v>0</v>
      </c>
    </row>
    <row r="15" spans="1:11">
      <c r="A15" t="s">
        <v>11</v>
      </c>
      <c r="B15" t="s">
        <v>31</v>
      </c>
      <c r="C15" t="s">
        <v>16</v>
      </c>
      <c r="D15" t="s">
        <v>30</v>
      </c>
      <c r="E15" s="4">
        <v>100</v>
      </c>
      <c r="F15" s="5">
        <v>277</v>
      </c>
      <c r="G15" s="5">
        <v>0.000245821042281219</v>
      </c>
      <c r="H15" s="5">
        <v>10</v>
      </c>
      <c r="I15" s="5">
        <v>5.69833038919597e-5</v>
      </c>
      <c r="J15" s="5">
        <v>0</v>
      </c>
      <c r="K15" s="5">
        <v>0</v>
      </c>
    </row>
    <row r="16" spans="1:11">
      <c r="A16" t="s">
        <v>11</v>
      </c>
      <c r="B16" t="s">
        <v>32</v>
      </c>
      <c r="C16" t="s">
        <v>16</v>
      </c>
      <c r="D16" t="s">
        <v>30</v>
      </c>
      <c r="E16" s="4">
        <v>100</v>
      </c>
      <c r="F16" s="5">
        <v>1082</v>
      </c>
      <c r="G16" s="5">
        <v>0.000960210713892705</v>
      </c>
      <c r="H16" s="5">
        <v>55</v>
      </c>
      <c r="I16" s="5">
        <v>0.000313408171405778</v>
      </c>
      <c r="J16" s="5">
        <v>121</v>
      </c>
      <c r="K16" s="5">
        <v>0.000484387510008006</v>
      </c>
    </row>
    <row r="17" spans="1:11">
      <c r="A17" t="s">
        <v>11</v>
      </c>
      <c r="B17" t="s">
        <v>33</v>
      </c>
      <c r="C17" t="s">
        <v>16</v>
      </c>
      <c r="D17" t="s">
        <v>30</v>
      </c>
      <c r="E17" s="4">
        <v>100</v>
      </c>
      <c r="F17" s="5">
        <v>617</v>
      </c>
      <c r="G17" s="5">
        <v>0.000547550841471164</v>
      </c>
      <c r="H17" s="5">
        <v>5</v>
      </c>
      <c r="I17" s="5">
        <v>2.84916519459798e-5</v>
      </c>
      <c r="J17" s="5">
        <v>10</v>
      </c>
      <c r="K17" s="5">
        <v>4.00320256204964e-5</v>
      </c>
    </row>
    <row r="18" spans="1:11">
      <c r="A18" t="s">
        <v>11</v>
      </c>
      <c r="B18" t="s">
        <v>34</v>
      </c>
      <c r="C18" t="s">
        <v>16</v>
      </c>
      <c r="D18" t="s">
        <v>30</v>
      </c>
      <c r="E18" s="4">
        <v>100</v>
      </c>
      <c r="F18" s="5">
        <v>498</v>
      </c>
      <c r="G18" s="5">
        <v>0.000441945411754683</v>
      </c>
      <c r="H18" s="5">
        <v>37</v>
      </c>
      <c r="I18" s="5">
        <v>0.000210838224400251</v>
      </c>
      <c r="J18" s="5">
        <v>16</v>
      </c>
      <c r="K18" s="5">
        <v>6.40512409927942e-5</v>
      </c>
    </row>
    <row r="19" spans="1:11">
      <c r="A19" t="s">
        <v>11</v>
      </c>
      <c r="B19" t="s">
        <v>35</v>
      </c>
      <c r="C19" t="s">
        <v>21</v>
      </c>
      <c r="D19" t="s">
        <v>30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</row>
    <row r="20" spans="1:11">
      <c r="A20" t="s">
        <v>36</v>
      </c>
      <c r="B20" t="s">
        <v>37</v>
      </c>
      <c r="C20" t="s">
        <v>16</v>
      </c>
      <c r="D20" t="s">
        <v>14</v>
      </c>
      <c r="E20" s="4">
        <v>0.75</v>
      </c>
      <c r="F20" s="5">
        <v>6638</v>
      </c>
      <c r="G20" s="5">
        <v>0.00589083060889073</v>
      </c>
      <c r="H20" s="5">
        <v>180</v>
      </c>
      <c r="I20" s="5">
        <v>0.00102569947005527</v>
      </c>
      <c r="J20" s="5">
        <v>586</v>
      </c>
      <c r="K20" s="5">
        <v>0.00234587670136109</v>
      </c>
    </row>
    <row r="21" spans="1:11">
      <c r="A21" t="s">
        <v>36</v>
      </c>
      <c r="B21" t="s">
        <v>38</v>
      </c>
      <c r="C21" t="s">
        <v>16</v>
      </c>
      <c r="D21" t="s">
        <v>14</v>
      </c>
      <c r="E21" s="4">
        <v>0.75</v>
      </c>
      <c r="F21" s="5">
        <v>7389</v>
      </c>
      <c r="G21" s="5">
        <v>0.00655729848886617</v>
      </c>
      <c r="H21" s="5">
        <v>137</v>
      </c>
      <c r="I21" s="5">
        <v>0.000780671263319847</v>
      </c>
      <c r="J21" s="5">
        <v>844</v>
      </c>
      <c r="K21" s="5">
        <v>0.0033787029623699</v>
      </c>
    </row>
    <row r="22" spans="1:11">
      <c r="A22" t="s">
        <v>36</v>
      </c>
      <c r="B22" t="s">
        <v>39</v>
      </c>
      <c r="C22" t="s">
        <v>16</v>
      </c>
      <c r="D22" t="s">
        <v>14</v>
      </c>
      <c r="E22" s="4">
        <v>0.75</v>
      </c>
      <c r="F22" s="5">
        <v>1825</v>
      </c>
      <c r="G22" s="5">
        <v>0.00161957906918132</v>
      </c>
      <c r="H22" s="5">
        <v>6</v>
      </c>
      <c r="I22" s="5">
        <v>3.41899823351758e-5</v>
      </c>
      <c r="J22" s="5">
        <v>34</v>
      </c>
      <c r="K22" s="5">
        <v>0.000136108887109688</v>
      </c>
    </row>
    <row r="23" spans="1:11">
      <c r="A23" t="s">
        <v>36</v>
      </c>
      <c r="B23" t="s">
        <v>40</v>
      </c>
      <c r="C23" t="s">
        <v>16</v>
      </c>
      <c r="D23" t="s">
        <v>14</v>
      </c>
      <c r="E23" s="4">
        <v>0.75</v>
      </c>
      <c r="F23" s="5">
        <v>2122</v>
      </c>
      <c r="G23" s="5">
        <v>0.00188314892317959</v>
      </c>
      <c r="H23" s="5">
        <v>20</v>
      </c>
      <c r="I23" s="5">
        <v>0.000113966607783919</v>
      </c>
      <c r="J23" s="5">
        <v>72</v>
      </c>
      <c r="K23" s="5">
        <v>0.000288230584467574</v>
      </c>
    </row>
    <row r="24" spans="1:11">
      <c r="A24" t="s">
        <v>36</v>
      </c>
      <c r="B24" t="s">
        <v>41</v>
      </c>
      <c r="C24" t="s">
        <v>16</v>
      </c>
      <c r="D24" t="s">
        <v>14</v>
      </c>
      <c r="E24" s="4">
        <v>0.75</v>
      </c>
      <c r="F24" s="5">
        <v>2780</v>
      </c>
      <c r="G24" s="5">
        <v>0.00246708482867072</v>
      </c>
      <c r="H24" s="5">
        <v>212</v>
      </c>
      <c r="I24" s="5">
        <v>0.00120804604250954</v>
      </c>
      <c r="J24" s="5">
        <v>351</v>
      </c>
      <c r="K24" s="5">
        <v>0.00140512409927942</v>
      </c>
    </row>
    <row r="25" spans="1:11">
      <c r="A25" t="s">
        <v>36</v>
      </c>
      <c r="B25" t="s">
        <v>42</v>
      </c>
      <c r="C25" t="s">
        <v>21</v>
      </c>
      <c r="D25" t="s">
        <v>14</v>
      </c>
      <c r="E25" s="4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</row>
    <row r="26" spans="1:11">
      <c r="A26" t="s">
        <v>36</v>
      </c>
      <c r="B26" t="s">
        <v>43</v>
      </c>
      <c r="C26" t="s">
        <v>16</v>
      </c>
      <c r="D26" t="s">
        <v>23</v>
      </c>
      <c r="E26" s="4">
        <v>1</v>
      </c>
      <c r="F26" s="5">
        <v>9781</v>
      </c>
      <c r="G26" s="5">
        <v>0.00868005637022601</v>
      </c>
      <c r="H26" s="5">
        <v>80</v>
      </c>
      <c r="I26" s="5">
        <v>0.000455866431135677</v>
      </c>
      <c r="J26" s="5">
        <v>281</v>
      </c>
      <c r="K26" s="5">
        <v>0.00112489991993595</v>
      </c>
    </row>
    <row r="27" spans="1:11">
      <c r="A27" t="s">
        <v>36</v>
      </c>
      <c r="B27" t="s">
        <v>44</v>
      </c>
      <c r="C27" t="s">
        <v>16</v>
      </c>
      <c r="D27" t="s">
        <v>23</v>
      </c>
      <c r="E27" s="4">
        <v>1</v>
      </c>
      <c r="F27" s="5">
        <v>6599</v>
      </c>
      <c r="G27" s="5">
        <v>0.00585622042604248</v>
      </c>
      <c r="H27" s="5">
        <v>47</v>
      </c>
      <c r="I27" s="5">
        <v>0.00026782152829221</v>
      </c>
      <c r="J27" s="5">
        <v>54</v>
      </c>
      <c r="K27" s="5">
        <v>0.000216172938350681</v>
      </c>
    </row>
    <row r="28" spans="1:11">
      <c r="A28" t="s">
        <v>36</v>
      </c>
      <c r="B28" t="s">
        <v>45</v>
      </c>
      <c r="C28" t="s">
        <v>16</v>
      </c>
      <c r="D28" t="s">
        <v>23</v>
      </c>
      <c r="E28" s="4">
        <v>1</v>
      </c>
      <c r="F28" s="5">
        <v>4664</v>
      </c>
      <c r="G28" s="5">
        <v>0.00413902289241735</v>
      </c>
      <c r="H28" s="5">
        <v>53</v>
      </c>
      <c r="I28" s="5">
        <v>0.000302011510627386</v>
      </c>
      <c r="J28" s="5">
        <v>70</v>
      </c>
      <c r="K28" s="5">
        <v>0.000280224179343475</v>
      </c>
    </row>
    <row r="29" spans="1:11">
      <c r="A29" t="s">
        <v>36</v>
      </c>
      <c r="B29" t="s">
        <v>46</v>
      </c>
      <c r="C29" t="s">
        <v>16</v>
      </c>
      <c r="D29" t="s">
        <v>23</v>
      </c>
      <c r="E29" s="4">
        <v>1</v>
      </c>
      <c r="F29" s="5">
        <v>3568</v>
      </c>
      <c r="G29" s="5">
        <v>0.00316638801032271</v>
      </c>
      <c r="H29" s="5">
        <v>177</v>
      </c>
      <c r="I29" s="5">
        <v>0.00100860447888769</v>
      </c>
      <c r="J29" s="5">
        <v>135</v>
      </c>
      <c r="K29" s="5">
        <v>0.000540432345876701</v>
      </c>
    </row>
    <row r="30" spans="1:11">
      <c r="A30" t="s">
        <v>36</v>
      </c>
      <c r="B30" t="s">
        <v>47</v>
      </c>
      <c r="C30" t="s">
        <v>16</v>
      </c>
      <c r="D30" t="s">
        <v>23</v>
      </c>
      <c r="E30" s="4">
        <v>1</v>
      </c>
      <c r="F30" s="5">
        <v>1147</v>
      </c>
      <c r="G30" s="5">
        <v>0.00101789435197314</v>
      </c>
      <c r="H30" s="5">
        <v>58</v>
      </c>
      <c r="I30" s="5">
        <v>0.000330503162573366</v>
      </c>
      <c r="J30" s="5">
        <v>59</v>
      </c>
      <c r="K30" s="5">
        <v>0.000236188951160929</v>
      </c>
    </row>
    <row r="31" spans="1:11">
      <c r="A31" t="s">
        <v>36</v>
      </c>
      <c r="B31" t="s">
        <v>48</v>
      </c>
      <c r="C31" t="s">
        <v>21</v>
      </c>
      <c r="D31" t="s">
        <v>23</v>
      </c>
      <c r="E31" s="4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</row>
    <row r="32" spans="1:11">
      <c r="A32" t="s">
        <v>36</v>
      </c>
      <c r="B32" t="s">
        <v>49</v>
      </c>
      <c r="C32" t="s">
        <v>16</v>
      </c>
      <c r="D32" t="s">
        <v>30</v>
      </c>
      <c r="E32" s="4">
        <v>100</v>
      </c>
      <c r="F32" s="5">
        <v>1733</v>
      </c>
      <c r="G32" s="5">
        <v>0.00153793453528286</v>
      </c>
      <c r="H32" s="5">
        <v>71</v>
      </c>
      <c r="I32" s="5">
        <v>0.000404581457632914</v>
      </c>
      <c r="J32" s="5">
        <v>328</v>
      </c>
      <c r="K32" s="5">
        <v>0.00131305044035228</v>
      </c>
    </row>
    <row r="33" spans="1:11">
      <c r="A33" t="s">
        <v>36</v>
      </c>
      <c r="B33" t="s">
        <v>50</v>
      </c>
      <c r="C33" t="s">
        <v>16</v>
      </c>
      <c r="D33" t="s">
        <v>30</v>
      </c>
      <c r="E33" s="4">
        <v>100</v>
      </c>
      <c r="F33" s="5">
        <v>2316</v>
      </c>
      <c r="G33" s="5">
        <v>0.00205531239683503</v>
      </c>
      <c r="H33" s="5">
        <v>0</v>
      </c>
      <c r="I33" s="5">
        <v>0</v>
      </c>
      <c r="J33" s="5">
        <v>437</v>
      </c>
      <c r="K33" s="5">
        <v>0.00174939951961569</v>
      </c>
    </row>
    <row r="34" spans="1:11">
      <c r="A34" t="s">
        <v>36</v>
      </c>
      <c r="B34" t="s">
        <v>51</v>
      </c>
      <c r="C34" t="s">
        <v>16</v>
      </c>
      <c r="D34" t="s">
        <v>30</v>
      </c>
      <c r="E34" s="4">
        <v>100</v>
      </c>
      <c r="F34" s="5">
        <v>3054</v>
      </c>
      <c r="G34" s="5">
        <v>0.00271024354919438</v>
      </c>
      <c r="H34" s="5">
        <v>0</v>
      </c>
      <c r="I34" s="5">
        <v>0</v>
      </c>
      <c r="J34" s="5">
        <v>0</v>
      </c>
      <c r="K34" s="5">
        <v>0</v>
      </c>
    </row>
    <row r="35" spans="1:11">
      <c r="A35" t="s">
        <v>36</v>
      </c>
      <c r="B35" t="s">
        <v>52</v>
      </c>
      <c r="C35" t="s">
        <v>16</v>
      </c>
      <c r="D35" t="s">
        <v>30</v>
      </c>
      <c r="E35" s="4">
        <v>100</v>
      </c>
      <c r="F35" s="5">
        <v>5759</v>
      </c>
      <c r="G35" s="5">
        <v>0.00511077033392614</v>
      </c>
      <c r="H35" s="5">
        <v>19</v>
      </c>
      <c r="I35" s="5">
        <v>0.000108268277394723</v>
      </c>
      <c r="J35" s="5">
        <v>317</v>
      </c>
      <c r="K35" s="5">
        <v>0.00126901521216974</v>
      </c>
    </row>
    <row r="36" spans="1:11">
      <c r="A36" t="s">
        <v>36</v>
      </c>
      <c r="B36" t="s">
        <v>53</v>
      </c>
      <c r="C36" t="s">
        <v>16</v>
      </c>
      <c r="D36" t="s">
        <v>30</v>
      </c>
      <c r="E36" s="4">
        <v>100</v>
      </c>
      <c r="F36" s="5">
        <v>2869</v>
      </c>
      <c r="G36" s="5">
        <v>0.00254606704081162</v>
      </c>
      <c r="H36" s="5">
        <v>71</v>
      </c>
      <c r="I36" s="5">
        <v>0.000404581457632914</v>
      </c>
      <c r="J36" s="5">
        <v>29</v>
      </c>
      <c r="K36" s="5">
        <v>0.00011609287429944</v>
      </c>
    </row>
    <row r="37" spans="1:11">
      <c r="A37" t="s">
        <v>36</v>
      </c>
      <c r="B37" t="s">
        <v>54</v>
      </c>
      <c r="C37" t="s">
        <v>21</v>
      </c>
      <c r="D37" t="s">
        <v>30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</row>
    <row r="38" spans="1:11">
      <c r="A38" t="s">
        <v>55</v>
      </c>
      <c r="B38" t="s">
        <v>56</v>
      </c>
      <c r="C38" t="s">
        <v>16</v>
      </c>
      <c r="D38" t="s">
        <v>14</v>
      </c>
      <c r="E38" s="4">
        <v>0.75</v>
      </c>
      <c r="F38" s="5">
        <v>4362</v>
      </c>
      <c r="G38" s="5">
        <v>0.00387101583548981</v>
      </c>
      <c r="H38" s="5">
        <v>106</v>
      </c>
      <c r="I38" s="5">
        <v>0.000604023021254772</v>
      </c>
      <c r="J38" s="5">
        <v>37</v>
      </c>
      <c r="K38" s="5">
        <v>0.000148118494795837</v>
      </c>
    </row>
    <row r="39" spans="1:11">
      <c r="A39" t="s">
        <v>55</v>
      </c>
      <c r="B39" t="s">
        <v>57</v>
      </c>
      <c r="C39" t="s">
        <v>16</v>
      </c>
      <c r="D39" t="s">
        <v>14</v>
      </c>
      <c r="E39" s="4">
        <v>0.75</v>
      </c>
      <c r="F39" s="5">
        <v>5511</v>
      </c>
      <c r="G39" s="5">
        <v>0.00489068506863465</v>
      </c>
      <c r="H39" s="5">
        <v>75</v>
      </c>
      <c r="I39" s="5">
        <v>0.000427374779189697</v>
      </c>
      <c r="J39" s="5">
        <v>47</v>
      </c>
      <c r="K39" s="5">
        <v>0.000188150520416333</v>
      </c>
    </row>
    <row r="40" spans="1:11">
      <c r="A40" t="s">
        <v>55</v>
      </c>
      <c r="B40" t="s">
        <v>58</v>
      </c>
      <c r="C40" t="s">
        <v>16</v>
      </c>
      <c r="D40" t="s">
        <v>14</v>
      </c>
      <c r="E40" s="4">
        <v>0.75</v>
      </c>
      <c r="F40" s="5">
        <v>3577</v>
      </c>
      <c r="G40" s="5">
        <v>0.00317437497559538</v>
      </c>
      <c r="H40" s="5">
        <v>50</v>
      </c>
      <c r="I40" s="5">
        <v>0.000284916519459798</v>
      </c>
      <c r="J40" s="5">
        <v>5</v>
      </c>
      <c r="K40" s="5">
        <v>2.00160128102482e-5</v>
      </c>
    </row>
    <row r="41" spans="1:11">
      <c r="A41" t="s">
        <v>55</v>
      </c>
      <c r="B41" t="s">
        <v>59</v>
      </c>
      <c r="C41" t="s">
        <v>16</v>
      </c>
      <c r="D41" t="s">
        <v>14</v>
      </c>
      <c r="E41" s="4">
        <v>0.75</v>
      </c>
      <c r="F41" s="5">
        <v>4186</v>
      </c>
      <c r="G41" s="5">
        <v>0.00371482629237973</v>
      </c>
      <c r="H41" s="5">
        <v>4</v>
      </c>
      <c r="I41" s="5">
        <v>2.27933215567839e-5</v>
      </c>
      <c r="J41" s="5">
        <v>30</v>
      </c>
      <c r="K41" s="5">
        <v>0.000120096076861489</v>
      </c>
    </row>
    <row r="42" spans="1:11">
      <c r="A42" t="s">
        <v>55</v>
      </c>
      <c r="B42" t="s">
        <v>60</v>
      </c>
      <c r="C42" t="s">
        <v>16</v>
      </c>
      <c r="D42" t="s">
        <v>14</v>
      </c>
      <c r="E42" s="4">
        <v>0.75</v>
      </c>
      <c r="F42" s="5">
        <v>3842</v>
      </c>
      <c r="G42" s="5">
        <v>0.00340954673084637</v>
      </c>
      <c r="H42" s="5">
        <v>121</v>
      </c>
      <c r="I42" s="5">
        <v>0.000689497977092712</v>
      </c>
      <c r="J42" s="5">
        <v>16</v>
      </c>
      <c r="K42" s="5">
        <v>6.40512409927942e-5</v>
      </c>
    </row>
    <row r="43" spans="1:11">
      <c r="A43" t="s">
        <v>55</v>
      </c>
      <c r="B43" t="s">
        <v>61</v>
      </c>
      <c r="C43" t="s">
        <v>21</v>
      </c>
      <c r="D43" t="s">
        <v>14</v>
      </c>
      <c r="E43" s="4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</row>
    <row r="44" spans="1:11">
      <c r="A44" s="17" t="s">
        <v>55</v>
      </c>
      <c r="B44" s="19">
        <v>700721</v>
      </c>
      <c r="C44" s="17" t="s">
        <v>16</v>
      </c>
      <c r="D44" s="17" t="s">
        <v>23</v>
      </c>
      <c r="E44" s="19">
        <v>1</v>
      </c>
      <c r="F44" s="16">
        <v>3331</v>
      </c>
      <c r="G44" s="16">
        <v>0.0029560645914756</v>
      </c>
      <c r="H44" s="16">
        <v>70</v>
      </c>
      <c r="I44" s="16">
        <v>0.000398883127243718</v>
      </c>
      <c r="J44" s="16">
        <v>41</v>
      </c>
      <c r="K44" s="16">
        <v>0.000164131305044035</v>
      </c>
    </row>
    <row r="45" spans="1:11">
      <c r="A45" s="17" t="s">
        <v>55</v>
      </c>
      <c r="B45" s="17" t="s">
        <v>62</v>
      </c>
      <c r="C45" s="17" t="s">
        <v>16</v>
      </c>
      <c r="D45" s="17" t="s">
        <v>23</v>
      </c>
      <c r="E45" s="19">
        <v>1</v>
      </c>
      <c r="F45" s="16">
        <v>3326</v>
      </c>
      <c r="G45" s="16">
        <v>0.00295162738854634</v>
      </c>
      <c r="H45" s="16">
        <v>34</v>
      </c>
      <c r="I45" s="16">
        <v>0.000193743233232663</v>
      </c>
      <c r="J45" s="16">
        <v>15</v>
      </c>
      <c r="K45" s="16">
        <v>6.00480384307446e-5</v>
      </c>
    </row>
    <row r="46" spans="1:11">
      <c r="A46" s="17" t="s">
        <v>55</v>
      </c>
      <c r="B46" s="17" t="s">
        <v>63</v>
      </c>
      <c r="C46" s="17" t="s">
        <v>16</v>
      </c>
      <c r="D46" s="17" t="s">
        <v>23</v>
      </c>
      <c r="E46" s="19">
        <v>1</v>
      </c>
      <c r="F46" s="16">
        <v>4490</v>
      </c>
      <c r="G46" s="16">
        <v>0.00398460823047897</v>
      </c>
      <c r="H46" s="16">
        <v>64</v>
      </c>
      <c r="I46" s="16">
        <v>0.000364693144908542</v>
      </c>
      <c r="J46" s="16">
        <v>13</v>
      </c>
      <c r="K46" s="16">
        <v>5.20416333066453e-5</v>
      </c>
    </row>
    <row r="47" spans="1:11">
      <c r="A47" s="17" t="s">
        <v>55</v>
      </c>
      <c r="B47" s="17" t="s">
        <v>64</v>
      </c>
      <c r="C47" s="17" t="s">
        <v>16</v>
      </c>
      <c r="D47" s="17" t="s">
        <v>23</v>
      </c>
      <c r="E47" s="19">
        <v>1</v>
      </c>
      <c r="F47" s="16">
        <v>4929</v>
      </c>
      <c r="G47" s="16">
        <v>0.00437419464766834</v>
      </c>
      <c r="H47" s="16">
        <v>106</v>
      </c>
      <c r="I47" s="16">
        <v>0.000604023021254772</v>
      </c>
      <c r="J47" s="16">
        <v>19</v>
      </c>
      <c r="K47" s="16">
        <v>7.60608486789431e-5</v>
      </c>
    </row>
    <row r="48" spans="1:11">
      <c r="A48" s="17" t="s">
        <v>55</v>
      </c>
      <c r="B48" s="17" t="s">
        <v>65</v>
      </c>
      <c r="C48" s="17" t="s">
        <v>16</v>
      </c>
      <c r="D48" s="17" t="s">
        <v>23</v>
      </c>
      <c r="E48" s="19">
        <v>1</v>
      </c>
      <c r="F48" s="16">
        <v>4904</v>
      </c>
      <c r="G48" s="16">
        <v>0.00435200863302202</v>
      </c>
      <c r="H48" s="16">
        <v>61</v>
      </c>
      <c r="I48" s="16">
        <v>0.000347598153740954</v>
      </c>
      <c r="J48" s="16">
        <v>43</v>
      </c>
      <c r="K48" s="16">
        <v>0.000172137710168134</v>
      </c>
    </row>
    <row r="49" spans="1:11">
      <c r="A49" s="17" t="s">
        <v>55</v>
      </c>
      <c r="B49" s="19">
        <v>700722</v>
      </c>
      <c r="C49" s="17" t="s">
        <v>21</v>
      </c>
      <c r="D49" s="17" t="s">
        <v>23</v>
      </c>
      <c r="E49" s="19">
        <v>1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</row>
    <row r="50" spans="1:11">
      <c r="A50" t="s">
        <v>55</v>
      </c>
      <c r="B50" t="s">
        <v>66</v>
      </c>
      <c r="C50" t="s">
        <v>16</v>
      </c>
      <c r="D50" t="s">
        <v>30</v>
      </c>
      <c r="E50" s="4">
        <v>50</v>
      </c>
      <c r="F50" s="5">
        <v>15729</v>
      </c>
      <c r="G50" s="5">
        <v>0.0139585529748783</v>
      </c>
      <c r="H50" s="5">
        <v>443</v>
      </c>
      <c r="I50" s="5">
        <v>0.00252436036241381</v>
      </c>
      <c r="J50" s="5">
        <v>124</v>
      </c>
      <c r="K50" s="5">
        <v>0.000496397117694155</v>
      </c>
    </row>
    <row r="51" spans="1:11">
      <c r="A51" t="s">
        <v>55</v>
      </c>
      <c r="B51" t="s">
        <v>67</v>
      </c>
      <c r="C51" t="s">
        <v>16</v>
      </c>
      <c r="D51" t="s">
        <v>30</v>
      </c>
      <c r="E51" s="4">
        <v>50</v>
      </c>
      <c r="F51" s="5">
        <v>20082</v>
      </c>
      <c r="G51" s="5">
        <v>0.0178215818450955</v>
      </c>
      <c r="H51" s="5">
        <v>269</v>
      </c>
      <c r="I51" s="5">
        <v>0.00153285087469371</v>
      </c>
      <c r="J51" s="5">
        <v>251</v>
      </c>
      <c r="K51" s="5">
        <v>0.00100480384307446</v>
      </c>
    </row>
    <row r="52" spans="1:11">
      <c r="A52" t="s">
        <v>55</v>
      </c>
      <c r="B52" t="s">
        <v>68</v>
      </c>
      <c r="C52" t="s">
        <v>16</v>
      </c>
      <c r="D52" t="s">
        <v>30</v>
      </c>
      <c r="E52" s="4">
        <v>50</v>
      </c>
      <c r="F52" s="5">
        <v>13431</v>
      </c>
      <c r="G52" s="5">
        <v>0.0119192145085886</v>
      </c>
      <c r="H52" s="5">
        <v>236</v>
      </c>
      <c r="I52" s="5">
        <v>0.00134480597185025</v>
      </c>
      <c r="J52" s="5">
        <v>233</v>
      </c>
      <c r="K52" s="5">
        <v>0.000932746196957566</v>
      </c>
    </row>
    <row r="53" spans="1:11">
      <c r="A53" t="s">
        <v>55</v>
      </c>
      <c r="B53" t="s">
        <v>69</v>
      </c>
      <c r="C53" t="s">
        <v>16</v>
      </c>
      <c r="D53" t="s">
        <v>30</v>
      </c>
      <c r="E53" s="4">
        <v>50</v>
      </c>
      <c r="F53" s="5">
        <v>9893</v>
      </c>
      <c r="G53" s="5">
        <v>0.00877944971584152</v>
      </c>
      <c r="H53" s="5">
        <v>198</v>
      </c>
      <c r="I53" s="5">
        <v>0.0011282694170608</v>
      </c>
      <c r="J53" s="5">
        <v>76</v>
      </c>
      <c r="K53" s="5">
        <v>0.000304243394715773</v>
      </c>
    </row>
    <row r="54" spans="1:11">
      <c r="A54" t="s">
        <v>55</v>
      </c>
      <c r="B54" t="s">
        <v>70</v>
      </c>
      <c r="C54" t="s">
        <v>16</v>
      </c>
      <c r="D54" t="s">
        <v>30</v>
      </c>
      <c r="E54" s="4">
        <v>50</v>
      </c>
      <c r="F54" s="5">
        <v>8231</v>
      </c>
      <c r="G54" s="5">
        <v>0.00730452346215421</v>
      </c>
      <c r="H54" s="5">
        <v>97</v>
      </c>
      <c r="I54" s="5">
        <v>0.000552738047752009</v>
      </c>
      <c r="J54" s="5">
        <v>86</v>
      </c>
      <c r="K54" s="5">
        <v>0.000344275420336269</v>
      </c>
    </row>
    <row r="55" spans="1:11">
      <c r="A55" t="s">
        <v>55</v>
      </c>
      <c r="B55" t="s">
        <v>71</v>
      </c>
      <c r="C55" t="s">
        <v>21</v>
      </c>
      <c r="D55" t="s">
        <v>30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</row>
    <row r="56" spans="1:11">
      <c r="A56" t="s">
        <v>72</v>
      </c>
      <c r="B56" t="s">
        <v>73</v>
      </c>
      <c r="C56" t="s">
        <v>16</v>
      </c>
      <c r="D56" t="s">
        <v>14</v>
      </c>
      <c r="E56" s="4">
        <v>1</v>
      </c>
      <c r="F56" s="5">
        <v>917</v>
      </c>
      <c r="G56" s="5">
        <v>0.000813783017226997</v>
      </c>
      <c r="H56" s="5">
        <v>64</v>
      </c>
      <c r="I56" s="5">
        <v>0.000364693144908542</v>
      </c>
      <c r="J56" s="5">
        <v>12</v>
      </c>
      <c r="K56" s="5">
        <v>4.80384307445957e-5</v>
      </c>
    </row>
    <row r="57" spans="1:11">
      <c r="A57" t="s">
        <v>72</v>
      </c>
      <c r="B57" t="s">
        <v>74</v>
      </c>
      <c r="C57" t="s">
        <v>16</v>
      </c>
      <c r="D57" t="s">
        <v>14</v>
      </c>
      <c r="E57" s="4">
        <v>1</v>
      </c>
      <c r="F57" s="5">
        <v>0</v>
      </c>
      <c r="G57" s="5">
        <v>0</v>
      </c>
      <c r="H57" s="5">
        <v>0</v>
      </c>
      <c r="I57" s="5">
        <v>0</v>
      </c>
      <c r="J57" s="5">
        <v>30</v>
      </c>
      <c r="K57" s="5">
        <v>0.000120096076861489</v>
      </c>
    </row>
    <row r="58" spans="1:11">
      <c r="A58" t="s">
        <v>72</v>
      </c>
      <c r="B58" t="s">
        <v>75</v>
      </c>
      <c r="C58" t="s">
        <v>16</v>
      </c>
      <c r="D58" t="s">
        <v>14</v>
      </c>
      <c r="E58" s="4">
        <v>1</v>
      </c>
      <c r="F58" s="5">
        <v>966</v>
      </c>
      <c r="G58" s="5">
        <v>0.000857267605933783</v>
      </c>
      <c r="H58" s="5">
        <v>0</v>
      </c>
      <c r="I58" s="5">
        <v>0</v>
      </c>
      <c r="J58" s="5">
        <v>12</v>
      </c>
      <c r="K58" s="5">
        <v>4.80384307445957e-5</v>
      </c>
    </row>
    <row r="59" spans="1:11">
      <c r="A59" t="s">
        <v>72</v>
      </c>
      <c r="B59" t="s">
        <v>76</v>
      </c>
      <c r="C59" t="s">
        <v>16</v>
      </c>
      <c r="D59" t="s">
        <v>14</v>
      </c>
      <c r="E59" s="4">
        <v>1</v>
      </c>
      <c r="F59" s="5">
        <v>1352</v>
      </c>
      <c r="G59" s="5">
        <v>0.00119981967207295</v>
      </c>
      <c r="H59" s="5">
        <v>30</v>
      </c>
      <c r="I59" s="5">
        <v>0.000170949911675879</v>
      </c>
      <c r="J59" s="5">
        <v>40</v>
      </c>
      <c r="K59" s="5">
        <v>0.000160128102481986</v>
      </c>
    </row>
    <row r="60" spans="1:11">
      <c r="A60" t="s">
        <v>72</v>
      </c>
      <c r="B60" t="s">
        <v>77</v>
      </c>
      <c r="C60" t="s">
        <v>16</v>
      </c>
      <c r="D60" t="s">
        <v>14</v>
      </c>
      <c r="E60" s="4">
        <v>1</v>
      </c>
      <c r="F60" s="5">
        <v>321</v>
      </c>
      <c r="G60" s="5">
        <v>0.000284868428058741</v>
      </c>
      <c r="H60" s="5">
        <v>35</v>
      </c>
      <c r="I60" s="5">
        <v>0.000199441563621859</v>
      </c>
      <c r="J60" s="5">
        <v>43</v>
      </c>
      <c r="K60" s="5">
        <v>0.000172137710168134</v>
      </c>
    </row>
    <row r="61" spans="1:11">
      <c r="A61" t="s">
        <v>72</v>
      </c>
      <c r="B61" t="s">
        <v>78</v>
      </c>
      <c r="C61" t="s">
        <v>21</v>
      </c>
      <c r="D61" t="s">
        <v>14</v>
      </c>
      <c r="E61" s="4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</row>
    <row r="62" spans="1:11">
      <c r="A62" t="s">
        <v>72</v>
      </c>
      <c r="B62" t="s">
        <v>79</v>
      </c>
      <c r="C62" t="s">
        <v>16</v>
      </c>
      <c r="D62" t="s">
        <v>23</v>
      </c>
      <c r="E62" s="4">
        <v>1</v>
      </c>
      <c r="F62" s="5">
        <v>221</v>
      </c>
      <c r="G62" s="5">
        <v>0.000196124369473464</v>
      </c>
      <c r="H62" s="5">
        <v>0</v>
      </c>
      <c r="I62" s="5">
        <v>0</v>
      </c>
      <c r="J62" s="5">
        <v>0</v>
      </c>
      <c r="K62" s="5">
        <v>0</v>
      </c>
    </row>
    <row r="63" spans="1:11">
      <c r="A63" t="s">
        <v>72</v>
      </c>
      <c r="B63" t="s">
        <v>80</v>
      </c>
      <c r="C63" t="s">
        <v>16</v>
      </c>
      <c r="D63" t="s">
        <v>23</v>
      </c>
      <c r="E63" s="4">
        <v>1</v>
      </c>
      <c r="F63" s="5">
        <v>282</v>
      </c>
      <c r="G63" s="5">
        <v>0.000250258245210483</v>
      </c>
      <c r="H63" s="5">
        <v>0</v>
      </c>
      <c r="I63" s="5">
        <v>0</v>
      </c>
      <c r="J63" s="5">
        <v>49</v>
      </c>
      <c r="K63" s="5">
        <v>0.000196156925540432</v>
      </c>
    </row>
    <row r="64" spans="1:11">
      <c r="A64" t="s">
        <v>72</v>
      </c>
      <c r="B64" t="s">
        <v>81</v>
      </c>
      <c r="C64" t="s">
        <v>16</v>
      </c>
      <c r="D64" t="s">
        <v>23</v>
      </c>
      <c r="E64" s="4">
        <v>1</v>
      </c>
      <c r="F64" s="5">
        <v>323</v>
      </c>
      <c r="G64" s="5">
        <v>0.000286643309230447</v>
      </c>
      <c r="H64" s="5">
        <v>45</v>
      </c>
      <c r="I64" s="5">
        <v>0.000256424867513818</v>
      </c>
      <c r="J64" s="5">
        <v>323</v>
      </c>
      <c r="K64" s="5">
        <v>0.00129303442754203</v>
      </c>
    </row>
    <row r="65" spans="1:11">
      <c r="A65" t="s">
        <v>72</v>
      </c>
      <c r="B65" t="s">
        <v>82</v>
      </c>
      <c r="C65" t="s">
        <v>16</v>
      </c>
      <c r="D65" t="s">
        <v>23</v>
      </c>
      <c r="E65" s="4">
        <v>1</v>
      </c>
      <c r="F65" s="5">
        <v>661</v>
      </c>
      <c r="G65" s="5">
        <v>0.000586598227248686</v>
      </c>
      <c r="H65" s="5">
        <v>87</v>
      </c>
      <c r="I65" s="5">
        <v>0.000495754743860049</v>
      </c>
      <c r="J65" s="5">
        <v>0</v>
      </c>
      <c r="K65" s="5">
        <v>0</v>
      </c>
    </row>
    <row r="66" spans="1:11">
      <c r="A66" t="s">
        <v>72</v>
      </c>
      <c r="B66" t="s">
        <v>83</v>
      </c>
      <c r="C66" t="s">
        <v>16</v>
      </c>
      <c r="D66" t="s">
        <v>23</v>
      </c>
      <c r="E66" s="4">
        <v>1</v>
      </c>
      <c r="F66" s="5">
        <v>95</v>
      </c>
      <c r="G66" s="5">
        <v>8.43068556560138e-5</v>
      </c>
      <c r="H66" s="5">
        <v>19</v>
      </c>
      <c r="I66" s="5">
        <v>0.000108268277394723</v>
      </c>
      <c r="J66" s="5">
        <v>0</v>
      </c>
      <c r="K66" s="5">
        <v>0</v>
      </c>
    </row>
    <row r="67" spans="1:11">
      <c r="A67" t="s">
        <v>72</v>
      </c>
      <c r="B67" t="s">
        <v>84</v>
      </c>
      <c r="C67" t="s">
        <v>21</v>
      </c>
      <c r="D67" t="s">
        <v>23</v>
      </c>
      <c r="E67" s="4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</row>
    <row r="68" spans="1:11">
      <c r="A68" t="s">
        <v>72</v>
      </c>
      <c r="B68" t="s">
        <v>85</v>
      </c>
      <c r="C68" t="s">
        <v>16</v>
      </c>
      <c r="D68" t="s">
        <v>30</v>
      </c>
      <c r="E68" s="4">
        <v>100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</row>
    <row r="69" spans="1:11">
      <c r="A69" t="s">
        <v>72</v>
      </c>
      <c r="B69" t="s">
        <v>86</v>
      </c>
      <c r="C69" t="s">
        <v>16</v>
      </c>
      <c r="D69" t="s">
        <v>30</v>
      </c>
      <c r="E69" s="4">
        <v>100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</row>
    <row r="70" spans="1:11">
      <c r="A70" t="s">
        <v>72</v>
      </c>
      <c r="B70" t="s">
        <v>87</v>
      </c>
      <c r="C70" t="s">
        <v>16</v>
      </c>
      <c r="D70" t="s">
        <v>30</v>
      </c>
      <c r="E70" s="4">
        <v>100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</row>
    <row r="71" spans="1:11">
      <c r="A71" t="s">
        <v>72</v>
      </c>
      <c r="B71" t="s">
        <v>88</v>
      </c>
      <c r="C71" t="s">
        <v>16</v>
      </c>
      <c r="D71" t="s">
        <v>30</v>
      </c>
      <c r="E71" s="4">
        <v>100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</row>
    <row r="72" spans="1:11">
      <c r="A72" t="s">
        <v>72</v>
      </c>
      <c r="B72" t="s">
        <v>89</v>
      </c>
      <c r="C72" t="s">
        <v>16</v>
      </c>
      <c r="D72" t="s">
        <v>30</v>
      </c>
      <c r="E72" s="4">
        <v>100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</row>
    <row r="73" spans="1:11">
      <c r="A73" t="s">
        <v>72</v>
      </c>
      <c r="B73" t="s">
        <v>90</v>
      </c>
      <c r="C73" t="s">
        <v>21</v>
      </c>
      <c r="D73" t="s">
        <v>30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>
      <c r="A74" t="s">
        <v>91</v>
      </c>
      <c r="B74" t="s">
        <v>92</v>
      </c>
      <c r="C74" t="s">
        <v>16</v>
      </c>
      <c r="D74" t="s">
        <v>14</v>
      </c>
      <c r="E74" s="4">
        <v>1</v>
      </c>
      <c r="F74" s="5">
        <v>1640</v>
      </c>
      <c r="G74" s="5">
        <v>0.00145540256079855</v>
      </c>
      <c r="H74" s="5">
        <v>0</v>
      </c>
      <c r="I74" s="5">
        <v>0</v>
      </c>
      <c r="J74" s="5">
        <v>6</v>
      </c>
      <c r="K74" s="5">
        <v>2.40192153722978e-5</v>
      </c>
    </row>
    <row r="75" spans="1:11">
      <c r="A75" t="s">
        <v>91</v>
      </c>
      <c r="B75" t="s">
        <v>93</v>
      </c>
      <c r="C75" t="s">
        <v>16</v>
      </c>
      <c r="D75" t="s">
        <v>14</v>
      </c>
      <c r="E75" s="4">
        <v>1</v>
      </c>
      <c r="F75" s="5">
        <v>1195</v>
      </c>
      <c r="G75" s="5">
        <v>0.00106049150009407</v>
      </c>
      <c r="H75" s="5">
        <v>5</v>
      </c>
      <c r="I75" s="5">
        <v>2.84916519459798e-5</v>
      </c>
      <c r="J75" s="5">
        <v>8</v>
      </c>
      <c r="K75" s="5">
        <v>3.20256204963971e-5</v>
      </c>
    </row>
    <row r="76" spans="1:11">
      <c r="A76" t="s">
        <v>91</v>
      </c>
      <c r="B76" t="s">
        <v>94</v>
      </c>
      <c r="C76" t="s">
        <v>16</v>
      </c>
      <c r="D76" t="s">
        <v>14</v>
      </c>
      <c r="E76" s="4">
        <v>0.95</v>
      </c>
      <c r="F76" s="5">
        <v>855</v>
      </c>
      <c r="G76" s="5">
        <v>0.000758761700904124</v>
      </c>
      <c r="H76" s="5">
        <v>0</v>
      </c>
      <c r="I76" s="5">
        <v>0</v>
      </c>
      <c r="J76" s="5">
        <v>0</v>
      </c>
      <c r="K76" s="5">
        <v>0</v>
      </c>
    </row>
    <row r="77" spans="1:11">
      <c r="A77" t="s">
        <v>91</v>
      </c>
      <c r="B77" t="s">
        <v>95</v>
      </c>
      <c r="C77" t="s">
        <v>16</v>
      </c>
      <c r="D77" t="s">
        <v>14</v>
      </c>
      <c r="E77" s="4">
        <v>1</v>
      </c>
      <c r="F77" s="5">
        <v>285</v>
      </c>
      <c r="G77" s="5">
        <v>0.000252920566968041</v>
      </c>
      <c r="H77" s="5">
        <v>0</v>
      </c>
      <c r="I77" s="5">
        <v>0</v>
      </c>
      <c r="J77" s="5">
        <v>0</v>
      </c>
      <c r="K77" s="5">
        <v>0</v>
      </c>
    </row>
    <row r="78" spans="1:11">
      <c r="A78" t="s">
        <v>91</v>
      </c>
      <c r="B78" t="s">
        <v>96</v>
      </c>
      <c r="C78" t="s">
        <v>16</v>
      </c>
      <c r="D78" t="s">
        <v>14</v>
      </c>
      <c r="E78" s="4">
        <v>1</v>
      </c>
      <c r="F78" s="5">
        <v>1121</v>
      </c>
      <c r="G78" s="5">
        <v>0.000994820896740963</v>
      </c>
      <c r="H78" s="5">
        <v>7</v>
      </c>
      <c r="I78" s="5">
        <v>3.98883127243718e-5</v>
      </c>
      <c r="J78" s="5">
        <v>6</v>
      </c>
      <c r="K78" s="5">
        <v>2.40192153722978e-5</v>
      </c>
    </row>
    <row r="79" spans="1:11">
      <c r="A79" t="s">
        <v>91</v>
      </c>
      <c r="B79" t="s">
        <v>97</v>
      </c>
      <c r="C79" t="s">
        <v>21</v>
      </c>
      <c r="D79" t="s">
        <v>14</v>
      </c>
      <c r="E79" s="4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</row>
    <row r="80" spans="1:11">
      <c r="A80" t="s">
        <v>91</v>
      </c>
      <c r="B80" t="s">
        <v>98</v>
      </c>
      <c r="C80" t="s">
        <v>16</v>
      </c>
      <c r="D80" t="s">
        <v>23</v>
      </c>
      <c r="E80" s="4">
        <v>1</v>
      </c>
      <c r="F80" s="5">
        <v>1347</v>
      </c>
      <c r="G80" s="5">
        <v>0.00119538246914369</v>
      </c>
      <c r="H80" s="5">
        <v>32</v>
      </c>
      <c r="I80" s="5">
        <v>0.000182346572454271</v>
      </c>
      <c r="J80" s="5">
        <v>0</v>
      </c>
      <c r="K80" s="5">
        <v>0</v>
      </c>
    </row>
    <row r="81" spans="1:11">
      <c r="A81" t="s">
        <v>91</v>
      </c>
      <c r="B81" t="s">
        <v>99</v>
      </c>
      <c r="C81" t="s">
        <v>16</v>
      </c>
      <c r="D81" t="s">
        <v>23</v>
      </c>
      <c r="E81" s="4">
        <v>1</v>
      </c>
      <c r="F81" s="5">
        <v>982</v>
      </c>
      <c r="G81" s="5">
        <v>0.000871466655307427</v>
      </c>
      <c r="H81" s="5">
        <v>11</v>
      </c>
      <c r="I81" s="5">
        <v>6.26816342811556e-5</v>
      </c>
      <c r="J81" s="5">
        <v>0</v>
      </c>
      <c r="K81" s="5">
        <v>0</v>
      </c>
    </row>
    <row r="82" spans="1:11">
      <c r="A82" t="s">
        <v>91</v>
      </c>
      <c r="B82" t="s">
        <v>100</v>
      </c>
      <c r="C82" t="s">
        <v>16</v>
      </c>
      <c r="D82" t="s">
        <v>23</v>
      </c>
      <c r="E82" s="4">
        <v>1</v>
      </c>
      <c r="F82" s="5">
        <v>416</v>
      </c>
      <c r="G82" s="5">
        <v>0.000369175283714755</v>
      </c>
      <c r="H82" s="5">
        <v>19</v>
      </c>
      <c r="I82" s="5">
        <v>0.000108268277394723</v>
      </c>
      <c r="J82" s="5">
        <v>4</v>
      </c>
      <c r="K82" s="5">
        <v>1.60128102481986e-5</v>
      </c>
    </row>
    <row r="83" spans="1:11">
      <c r="A83" t="s">
        <v>91</v>
      </c>
      <c r="B83" t="s">
        <v>101</v>
      </c>
      <c r="C83" t="s">
        <v>16</v>
      </c>
      <c r="D83" t="s">
        <v>23</v>
      </c>
      <c r="E83" s="4">
        <v>1</v>
      </c>
      <c r="F83" s="5">
        <v>803</v>
      </c>
      <c r="G83" s="5">
        <v>0.00071261479043978</v>
      </c>
      <c r="H83" s="5">
        <v>14</v>
      </c>
      <c r="I83" s="5">
        <v>7.97766254487435e-5</v>
      </c>
      <c r="J83" s="5">
        <v>0</v>
      </c>
      <c r="K83" s="5">
        <v>0</v>
      </c>
    </row>
    <row r="84" spans="1:11">
      <c r="A84" t="s">
        <v>91</v>
      </c>
      <c r="B84" t="s">
        <v>102</v>
      </c>
      <c r="C84" t="s">
        <v>16</v>
      </c>
      <c r="D84" t="s">
        <v>23</v>
      </c>
      <c r="E84" s="4">
        <v>1</v>
      </c>
      <c r="F84" s="5">
        <v>255</v>
      </c>
      <c r="G84" s="5">
        <v>0.000226297349392458</v>
      </c>
      <c r="H84" s="5">
        <v>36</v>
      </c>
      <c r="I84" s="5">
        <v>0.000205139894011055</v>
      </c>
      <c r="J84" s="5">
        <v>8</v>
      </c>
      <c r="K84" s="5">
        <v>3.20256204963971e-5</v>
      </c>
    </row>
    <row r="85" spans="1:11">
      <c r="A85" t="s">
        <v>91</v>
      </c>
      <c r="B85" t="s">
        <v>103</v>
      </c>
      <c r="C85" t="s">
        <v>21</v>
      </c>
      <c r="D85" t="s">
        <v>23</v>
      </c>
      <c r="E85" s="4">
        <v>1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</row>
    <row r="86" spans="1:11">
      <c r="A86" t="s">
        <v>91</v>
      </c>
      <c r="B86" t="s">
        <v>104</v>
      </c>
      <c r="C86" t="s">
        <v>16</v>
      </c>
      <c r="D86" t="s">
        <v>30</v>
      </c>
      <c r="E86" s="4">
        <v>100</v>
      </c>
      <c r="F86" s="5">
        <v>3042</v>
      </c>
      <c r="G86" s="5">
        <v>0.00269959426216415</v>
      </c>
      <c r="H86" s="5">
        <v>48</v>
      </c>
      <c r="I86" s="5">
        <v>0.000273519858681406</v>
      </c>
      <c r="J86" s="5">
        <v>20</v>
      </c>
      <c r="K86" s="5">
        <v>8.00640512409928e-5</v>
      </c>
    </row>
    <row r="87" spans="1:11">
      <c r="A87" t="s">
        <v>91</v>
      </c>
      <c r="B87" t="s">
        <v>105</v>
      </c>
      <c r="C87" t="s">
        <v>16</v>
      </c>
      <c r="D87" t="s">
        <v>30</v>
      </c>
      <c r="E87" s="4">
        <v>100</v>
      </c>
      <c r="F87" s="5">
        <v>4722</v>
      </c>
      <c r="G87" s="5">
        <v>0.00419049444639681</v>
      </c>
      <c r="H87" s="5">
        <v>23</v>
      </c>
      <c r="I87" s="5">
        <v>0.000131061598951507</v>
      </c>
      <c r="J87" s="5">
        <v>15</v>
      </c>
      <c r="K87" s="5">
        <v>6.00480384307446e-5</v>
      </c>
    </row>
    <row r="88" spans="1:11">
      <c r="A88" t="s">
        <v>91</v>
      </c>
      <c r="B88" t="s">
        <v>106</v>
      </c>
      <c r="C88" t="s">
        <v>16</v>
      </c>
      <c r="D88" t="s">
        <v>30</v>
      </c>
      <c r="E88" s="4">
        <v>100</v>
      </c>
      <c r="F88" s="5">
        <v>966</v>
      </c>
      <c r="G88" s="5">
        <v>0.000857267605933783</v>
      </c>
      <c r="H88" s="5">
        <v>0</v>
      </c>
      <c r="I88" s="5">
        <v>0</v>
      </c>
      <c r="J88" s="5">
        <v>0</v>
      </c>
      <c r="K88" s="5">
        <v>0</v>
      </c>
    </row>
    <row r="89" spans="1:11">
      <c r="A89" t="s">
        <v>91</v>
      </c>
      <c r="B89" t="s">
        <v>107</v>
      </c>
      <c r="C89" t="s">
        <v>16</v>
      </c>
      <c r="D89" t="s">
        <v>30</v>
      </c>
      <c r="E89" s="4">
        <v>100</v>
      </c>
      <c r="F89" s="5">
        <v>3383</v>
      </c>
      <c r="G89" s="5">
        <v>0.00300221150193995</v>
      </c>
      <c r="H89" s="5">
        <v>20</v>
      </c>
      <c r="I89" s="5">
        <v>0.000113966607783919</v>
      </c>
      <c r="J89" s="5">
        <v>37</v>
      </c>
      <c r="K89" s="5">
        <v>0.000148118494795837</v>
      </c>
    </row>
    <row r="90" spans="1:11">
      <c r="A90" t="s">
        <v>91</v>
      </c>
      <c r="B90" t="s">
        <v>108</v>
      </c>
      <c r="C90" t="s">
        <v>16</v>
      </c>
      <c r="D90" t="s">
        <v>30</v>
      </c>
      <c r="E90" s="4">
        <v>100</v>
      </c>
      <c r="F90" s="5">
        <v>1950</v>
      </c>
      <c r="G90" s="5">
        <v>0.00173050914241292</v>
      </c>
      <c r="H90" s="5">
        <v>31</v>
      </c>
      <c r="I90" s="5">
        <v>0.000176648242065075</v>
      </c>
      <c r="J90" s="5">
        <v>18</v>
      </c>
      <c r="K90" s="5">
        <v>7.20576461168935e-5</v>
      </c>
    </row>
    <row r="91" spans="1:11">
      <c r="A91" t="s">
        <v>91</v>
      </c>
      <c r="B91" t="s">
        <v>109</v>
      </c>
      <c r="C91" t="s">
        <v>21</v>
      </c>
      <c r="D91" t="s">
        <v>30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</row>
    <row r="92" spans="1:11">
      <c r="A92" t="s">
        <v>110</v>
      </c>
      <c r="B92" t="s">
        <v>111</v>
      </c>
      <c r="C92" t="s">
        <v>16</v>
      </c>
      <c r="D92" t="s">
        <v>14</v>
      </c>
      <c r="E92" s="4">
        <v>1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</row>
    <row r="93" spans="1:11">
      <c r="A93" t="s">
        <v>110</v>
      </c>
      <c r="B93" t="s">
        <v>112</v>
      </c>
      <c r="C93" t="s">
        <v>16</v>
      </c>
      <c r="D93" t="s">
        <v>14</v>
      </c>
      <c r="E93" s="4">
        <v>1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</row>
    <row r="94" spans="1:11">
      <c r="A94" t="s">
        <v>110</v>
      </c>
      <c r="B94" t="s">
        <v>113</v>
      </c>
      <c r="C94" t="s">
        <v>16</v>
      </c>
      <c r="D94" t="s">
        <v>14</v>
      </c>
      <c r="E94" s="4">
        <v>1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</row>
    <row r="95" spans="1:11">
      <c r="A95" t="s">
        <v>110</v>
      </c>
      <c r="B95" t="s">
        <v>114</v>
      </c>
      <c r="C95" t="s">
        <v>16</v>
      </c>
      <c r="D95" t="s">
        <v>14</v>
      </c>
      <c r="E95" s="4">
        <v>1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</row>
    <row r="96" spans="1:11">
      <c r="A96" t="s">
        <v>110</v>
      </c>
      <c r="B96" t="s">
        <v>115</v>
      </c>
      <c r="C96" t="s">
        <v>16</v>
      </c>
      <c r="D96" t="s">
        <v>14</v>
      </c>
      <c r="E96" s="4">
        <v>1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</row>
    <row r="97" spans="1:11">
      <c r="A97" t="s">
        <v>110</v>
      </c>
      <c r="B97" t="s">
        <v>116</v>
      </c>
      <c r="C97" t="s">
        <v>21</v>
      </c>
      <c r="D97" t="s">
        <v>14</v>
      </c>
      <c r="E97" s="4">
        <v>1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</row>
    <row r="98" spans="1:11">
      <c r="A98" t="s">
        <v>110</v>
      </c>
      <c r="B98" t="s">
        <v>117</v>
      </c>
      <c r="C98" t="s">
        <v>16</v>
      </c>
      <c r="D98" t="s">
        <v>23</v>
      </c>
      <c r="E98" s="4">
        <v>1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</row>
    <row r="99" spans="1:11">
      <c r="A99" t="s">
        <v>110</v>
      </c>
      <c r="B99" t="s">
        <v>118</v>
      </c>
      <c r="C99" t="s">
        <v>16</v>
      </c>
      <c r="D99" t="s">
        <v>23</v>
      </c>
      <c r="E99" s="4">
        <v>1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</row>
    <row r="100" spans="1:11">
      <c r="A100" t="s">
        <v>110</v>
      </c>
      <c r="B100" t="s">
        <v>119</v>
      </c>
      <c r="C100" t="s">
        <v>16</v>
      </c>
      <c r="D100" t="s">
        <v>23</v>
      </c>
      <c r="E100" s="4">
        <v>1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</row>
    <row r="101" spans="1:11">
      <c r="A101" t="s">
        <v>110</v>
      </c>
      <c r="B101" t="s">
        <v>120</v>
      </c>
      <c r="C101" t="s">
        <v>16</v>
      </c>
      <c r="D101" t="s">
        <v>23</v>
      </c>
      <c r="E101" s="4">
        <v>1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</row>
    <row r="102" spans="1:11">
      <c r="A102" t="s">
        <v>110</v>
      </c>
      <c r="B102" t="s">
        <v>121</v>
      </c>
      <c r="C102" t="s">
        <v>16</v>
      </c>
      <c r="D102" t="s">
        <v>23</v>
      </c>
      <c r="E102" s="4">
        <v>1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</row>
    <row r="103" spans="1:11">
      <c r="A103" t="s">
        <v>110</v>
      </c>
      <c r="B103" t="s">
        <v>122</v>
      </c>
      <c r="C103" t="s">
        <v>21</v>
      </c>
      <c r="D103" t="s">
        <v>23</v>
      </c>
      <c r="E103" s="4">
        <v>1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</row>
    <row r="104" spans="1:11">
      <c r="A104" t="s">
        <v>110</v>
      </c>
      <c r="B104" t="s">
        <v>123</v>
      </c>
      <c r="C104" t="s">
        <v>16</v>
      </c>
      <c r="D104" t="s">
        <v>30</v>
      </c>
      <c r="E104" s="4">
        <v>100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</row>
    <row r="105" spans="1:11">
      <c r="A105" t="s">
        <v>110</v>
      </c>
      <c r="B105" t="s">
        <v>124</v>
      </c>
      <c r="C105" t="s">
        <v>16</v>
      </c>
      <c r="D105" t="s">
        <v>30</v>
      </c>
      <c r="E105" s="4">
        <v>100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</row>
    <row r="106" spans="1:11">
      <c r="A106" t="s">
        <v>110</v>
      </c>
      <c r="B106" t="s">
        <v>125</v>
      </c>
      <c r="C106" t="s">
        <v>16</v>
      </c>
      <c r="D106" t="s">
        <v>30</v>
      </c>
      <c r="E106" s="4">
        <v>100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</row>
    <row r="107" spans="1:11">
      <c r="A107" t="s">
        <v>110</v>
      </c>
      <c r="B107" t="s">
        <v>126</v>
      </c>
      <c r="C107" t="s">
        <v>16</v>
      </c>
      <c r="D107" t="s">
        <v>30</v>
      </c>
      <c r="E107" s="4">
        <v>100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</row>
    <row r="108" spans="1:11">
      <c r="A108" t="s">
        <v>110</v>
      </c>
      <c r="B108" t="s">
        <v>127</v>
      </c>
      <c r="C108" t="s">
        <v>16</v>
      </c>
      <c r="D108" t="s">
        <v>30</v>
      </c>
      <c r="E108" s="4">
        <v>100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</row>
    <row r="109" spans="1:11">
      <c r="A109" t="s">
        <v>110</v>
      </c>
      <c r="B109" t="s">
        <v>128</v>
      </c>
      <c r="C109" t="s">
        <v>16</v>
      </c>
      <c r="D109" t="s">
        <v>30</v>
      </c>
      <c r="E109" s="4">
        <v>100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</row>
    <row r="110" spans="1:11">
      <c r="A110" t="s">
        <v>129</v>
      </c>
      <c r="B110" t="s">
        <v>130</v>
      </c>
      <c r="C110" t="s">
        <v>21</v>
      </c>
      <c r="D110" t="s">
        <v>14</v>
      </c>
      <c r="E110" s="4">
        <v>1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</row>
    <row r="111" spans="1:11">
      <c r="A111" t="s">
        <v>129</v>
      </c>
      <c r="B111" t="s">
        <v>131</v>
      </c>
      <c r="C111" t="s">
        <v>16</v>
      </c>
      <c r="D111" t="s">
        <v>14</v>
      </c>
      <c r="E111" s="4">
        <v>1</v>
      </c>
      <c r="F111" s="5">
        <v>8549</v>
      </c>
      <c r="G111" s="5">
        <v>0.00848645482791824</v>
      </c>
      <c r="H111" s="5">
        <v>197</v>
      </c>
      <c r="I111" s="5">
        <v>0.000528160045898985</v>
      </c>
      <c r="J111" s="5">
        <v>268</v>
      </c>
      <c r="K111" s="5">
        <v>0.000663354842861634</v>
      </c>
    </row>
    <row r="112" spans="1:11">
      <c r="A112" t="s">
        <v>129</v>
      </c>
      <c r="B112" t="s">
        <v>132</v>
      </c>
      <c r="C112" t="s">
        <v>16</v>
      </c>
      <c r="D112" t="s">
        <v>14</v>
      </c>
      <c r="E112" s="4">
        <v>1</v>
      </c>
      <c r="F112" s="5">
        <v>10329</v>
      </c>
      <c r="G112" s="5">
        <v>0.0102534322046517</v>
      </c>
      <c r="H112" s="5">
        <v>230</v>
      </c>
      <c r="I112" s="5">
        <v>0.000616633556125718</v>
      </c>
      <c r="J112" s="5">
        <v>276</v>
      </c>
      <c r="K112" s="5">
        <v>0.000683156479961981</v>
      </c>
    </row>
    <row r="113" spans="1:11">
      <c r="A113" t="s">
        <v>129</v>
      </c>
      <c r="B113" t="s">
        <v>133</v>
      </c>
      <c r="C113" t="s">
        <v>16</v>
      </c>
      <c r="D113" t="s">
        <v>14</v>
      </c>
      <c r="E113" s="4">
        <v>1</v>
      </c>
      <c r="F113" s="5">
        <v>7959</v>
      </c>
      <c r="G113" s="5">
        <v>0.00790077131540546</v>
      </c>
      <c r="H113" s="5">
        <v>242</v>
      </c>
      <c r="I113" s="5">
        <v>0.000648805741662712</v>
      </c>
      <c r="J113" s="5">
        <v>320</v>
      </c>
      <c r="K113" s="5">
        <v>0.000792065484013891</v>
      </c>
    </row>
    <row r="114" spans="1:11">
      <c r="A114" t="s">
        <v>129</v>
      </c>
      <c r="B114" t="s">
        <v>134</v>
      </c>
      <c r="C114" t="s">
        <v>16</v>
      </c>
      <c r="D114" t="s">
        <v>14</v>
      </c>
      <c r="E114" s="4">
        <v>1</v>
      </c>
      <c r="F114" s="5">
        <v>12324</v>
      </c>
      <c r="G114" s="5">
        <v>0.0122338366240805</v>
      </c>
      <c r="H114" s="5">
        <v>227</v>
      </c>
      <c r="I114" s="5">
        <v>0.00060859050974147</v>
      </c>
      <c r="J114" s="5">
        <v>852</v>
      </c>
      <c r="K114" s="5">
        <v>0.00210887435118698</v>
      </c>
    </row>
    <row r="115" spans="1:11">
      <c r="A115" t="s">
        <v>129</v>
      </c>
      <c r="B115" t="s">
        <v>135</v>
      </c>
      <c r="C115" t="s">
        <v>16</v>
      </c>
      <c r="D115" t="s">
        <v>14</v>
      </c>
      <c r="E115" s="4">
        <v>1</v>
      </c>
      <c r="F115" s="5">
        <v>8788</v>
      </c>
      <c r="G115" s="5">
        <v>0.00872370628468189</v>
      </c>
      <c r="H115" s="5">
        <v>117</v>
      </c>
      <c r="I115" s="5">
        <v>0.000313678808985691</v>
      </c>
      <c r="J115" s="5">
        <v>329</v>
      </c>
      <c r="K115" s="5">
        <v>0.000814342325751782</v>
      </c>
    </row>
    <row r="116" spans="1:11">
      <c r="A116" t="s">
        <v>129</v>
      </c>
      <c r="B116" t="s">
        <v>136</v>
      </c>
      <c r="C116" t="s">
        <v>16</v>
      </c>
      <c r="D116" t="s">
        <v>14</v>
      </c>
      <c r="E116" s="4">
        <v>1</v>
      </c>
      <c r="F116" s="5">
        <v>10108</v>
      </c>
      <c r="G116" s="5">
        <v>0.0100340490584393</v>
      </c>
      <c r="H116" s="5">
        <v>290</v>
      </c>
      <c r="I116" s="5">
        <v>0.000777494483810688</v>
      </c>
      <c r="J116" s="5">
        <v>587</v>
      </c>
      <c r="K116" s="5">
        <v>0.00145294512223798</v>
      </c>
    </row>
    <row r="117" spans="1:11">
      <c r="A117" t="s">
        <v>129</v>
      </c>
      <c r="B117" t="s">
        <v>137</v>
      </c>
      <c r="C117" t="s">
        <v>16</v>
      </c>
      <c r="D117" t="s">
        <v>23</v>
      </c>
      <c r="E117" s="4">
        <v>1</v>
      </c>
      <c r="F117" s="5">
        <v>5092</v>
      </c>
      <c r="G117" s="5">
        <v>0.00505474651816115</v>
      </c>
      <c r="H117" s="5">
        <v>215</v>
      </c>
      <c r="I117" s="5">
        <v>0.000576418324204476</v>
      </c>
      <c r="J117" s="5">
        <v>282</v>
      </c>
      <c r="K117" s="5">
        <v>0.000698007707787241</v>
      </c>
    </row>
    <row r="118" spans="1:11">
      <c r="A118" t="s">
        <v>129</v>
      </c>
      <c r="B118" t="s">
        <v>138</v>
      </c>
      <c r="C118" t="s">
        <v>16</v>
      </c>
      <c r="D118" t="s">
        <v>23</v>
      </c>
      <c r="E118" s="4">
        <v>1</v>
      </c>
      <c r="F118" s="5">
        <v>7511</v>
      </c>
      <c r="G118" s="5">
        <v>0.00745604891946355</v>
      </c>
      <c r="H118" s="5">
        <v>159</v>
      </c>
      <c r="I118" s="5">
        <v>0.00042628145836517</v>
      </c>
      <c r="J118" s="5">
        <v>302</v>
      </c>
      <c r="K118" s="5">
        <v>0.00074751180053811</v>
      </c>
    </row>
    <row r="119" spans="1:11">
      <c r="A119" t="s">
        <v>129</v>
      </c>
      <c r="B119" t="s">
        <v>139</v>
      </c>
      <c r="C119" t="s">
        <v>16</v>
      </c>
      <c r="D119" t="s">
        <v>23</v>
      </c>
      <c r="E119" s="4">
        <v>1</v>
      </c>
      <c r="F119" s="5">
        <v>8118</v>
      </c>
      <c r="G119" s="5">
        <v>0.00805860805860806</v>
      </c>
      <c r="H119" s="5">
        <v>181</v>
      </c>
      <c r="I119" s="5">
        <v>0.000485263798516326</v>
      </c>
      <c r="J119" s="5">
        <v>233</v>
      </c>
      <c r="K119" s="5">
        <v>0.000576722680547614</v>
      </c>
    </row>
    <row r="120" spans="1:11">
      <c r="A120" t="s">
        <v>129</v>
      </c>
      <c r="B120" t="s">
        <v>140</v>
      </c>
      <c r="C120" t="s">
        <v>16</v>
      </c>
      <c r="D120" t="s">
        <v>23</v>
      </c>
      <c r="E120" s="4">
        <v>1</v>
      </c>
      <c r="F120" s="5">
        <v>378</v>
      </c>
      <c r="G120" s="5">
        <v>0.000375234521575985</v>
      </c>
      <c r="H120" s="5">
        <v>345</v>
      </c>
      <c r="I120" s="5">
        <v>0.000924950334188577</v>
      </c>
      <c r="J120" s="5">
        <v>340</v>
      </c>
      <c r="K120" s="5">
        <v>0.000841569576764759</v>
      </c>
    </row>
    <row r="121" spans="1:11">
      <c r="A121" t="s">
        <v>129</v>
      </c>
      <c r="B121" t="s">
        <v>141</v>
      </c>
      <c r="C121" t="s">
        <v>16</v>
      </c>
      <c r="D121" t="s">
        <v>23</v>
      </c>
      <c r="E121" s="4">
        <v>1</v>
      </c>
      <c r="F121" s="5">
        <v>10119</v>
      </c>
      <c r="G121" s="5">
        <v>0.0100449685815539</v>
      </c>
      <c r="H121" s="5">
        <v>255</v>
      </c>
      <c r="I121" s="5">
        <v>0.000683658942661122</v>
      </c>
      <c r="J121" s="5">
        <v>629</v>
      </c>
      <c r="K121" s="5">
        <v>0.0015569037170148</v>
      </c>
    </row>
    <row r="122" spans="1:11">
      <c r="A122" t="s">
        <v>129</v>
      </c>
      <c r="B122" t="s">
        <v>142</v>
      </c>
      <c r="C122" t="s">
        <v>16</v>
      </c>
      <c r="D122" t="s">
        <v>23</v>
      </c>
      <c r="E122" s="4">
        <v>1</v>
      </c>
      <c r="F122" s="5">
        <v>8364</v>
      </c>
      <c r="G122" s="5">
        <v>0.0083028083028083</v>
      </c>
      <c r="H122" s="5">
        <v>152</v>
      </c>
      <c r="I122" s="5">
        <v>0.000407514350135257</v>
      </c>
      <c r="J122" s="5">
        <v>455</v>
      </c>
      <c r="K122" s="5">
        <v>0.00112621811008225</v>
      </c>
    </row>
    <row r="123" spans="1:11">
      <c r="A123" t="s">
        <v>143</v>
      </c>
      <c r="B123" t="s">
        <v>144</v>
      </c>
      <c r="C123" t="s">
        <v>16</v>
      </c>
      <c r="D123" t="s">
        <v>14</v>
      </c>
      <c r="E123" s="4">
        <v>1</v>
      </c>
      <c r="F123" s="5">
        <v>2853</v>
      </c>
      <c r="G123" s="5">
        <v>0.00283212722237112</v>
      </c>
      <c r="H123" s="5">
        <v>0</v>
      </c>
      <c r="I123" s="5">
        <v>0</v>
      </c>
      <c r="J123" s="5">
        <v>77</v>
      </c>
      <c r="K123" s="5">
        <v>0.000190590757090842</v>
      </c>
    </row>
    <row r="124" spans="1:11">
      <c r="A124" t="s">
        <v>143</v>
      </c>
      <c r="B124" t="s">
        <v>145</v>
      </c>
      <c r="C124" t="s">
        <v>16</v>
      </c>
      <c r="D124" t="s">
        <v>14</v>
      </c>
      <c r="E124" s="4">
        <v>1</v>
      </c>
      <c r="F124" s="5">
        <v>4143</v>
      </c>
      <c r="G124" s="5">
        <v>0.00411268947854314</v>
      </c>
      <c r="H124" s="5">
        <v>560</v>
      </c>
      <c r="I124" s="5">
        <v>0.00150136865839305</v>
      </c>
      <c r="J124" s="5">
        <v>1072</v>
      </c>
      <c r="K124" s="5">
        <v>0.00265341937144653</v>
      </c>
    </row>
    <row r="125" spans="1:11">
      <c r="A125" t="s">
        <v>143</v>
      </c>
      <c r="B125" t="s">
        <v>146</v>
      </c>
      <c r="C125" t="s">
        <v>16</v>
      </c>
      <c r="D125" t="s">
        <v>14</v>
      </c>
      <c r="E125" s="4">
        <v>1</v>
      </c>
      <c r="F125" s="5">
        <v>4775</v>
      </c>
      <c r="G125" s="5">
        <v>0.00474006571567547</v>
      </c>
      <c r="H125" s="5">
        <v>151</v>
      </c>
      <c r="I125" s="5">
        <v>0.000404833334673841</v>
      </c>
      <c r="J125" s="5">
        <v>704</v>
      </c>
      <c r="K125" s="5">
        <v>0.00174254406483056</v>
      </c>
    </row>
    <row r="126" spans="1:11">
      <c r="A126" t="s">
        <v>143</v>
      </c>
      <c r="B126" t="s">
        <v>147</v>
      </c>
      <c r="C126" t="s">
        <v>16</v>
      </c>
      <c r="D126" t="s">
        <v>14</v>
      </c>
      <c r="E126" s="4">
        <v>1</v>
      </c>
      <c r="F126" s="5">
        <v>5500</v>
      </c>
      <c r="G126" s="5">
        <v>0.00545976155732253</v>
      </c>
      <c r="H126" s="5">
        <v>262</v>
      </c>
      <c r="I126" s="5">
        <v>0.000702426050891035</v>
      </c>
      <c r="J126" s="5">
        <v>257</v>
      </c>
      <c r="K126" s="5">
        <v>0.000636127591848656</v>
      </c>
    </row>
    <row r="127" spans="1:11">
      <c r="A127" t="s">
        <v>143</v>
      </c>
      <c r="B127" t="s">
        <v>148</v>
      </c>
      <c r="C127" t="s">
        <v>16</v>
      </c>
      <c r="D127" t="s">
        <v>14</v>
      </c>
      <c r="E127" s="4">
        <v>1</v>
      </c>
      <c r="F127" s="5">
        <v>8367</v>
      </c>
      <c r="G127" s="5">
        <v>0.00830578635456684</v>
      </c>
      <c r="H127" s="5">
        <v>70</v>
      </c>
      <c r="I127" s="5">
        <v>0.000187671082299132</v>
      </c>
      <c r="J127" s="5">
        <v>1367</v>
      </c>
      <c r="K127" s="5">
        <v>0.00338360473952184</v>
      </c>
    </row>
    <row r="128" spans="1:11">
      <c r="A128" t="s">
        <v>143</v>
      </c>
      <c r="B128" t="s">
        <v>149</v>
      </c>
      <c r="C128" t="s">
        <v>16</v>
      </c>
      <c r="D128" t="s">
        <v>14</v>
      </c>
      <c r="E128" s="4">
        <v>1</v>
      </c>
      <c r="F128" s="5">
        <v>291</v>
      </c>
      <c r="G128" s="5">
        <v>0.000288871020578338</v>
      </c>
      <c r="H128" s="5">
        <v>129</v>
      </c>
      <c r="I128" s="5">
        <v>0.000345850994522685</v>
      </c>
      <c r="J128" s="5">
        <v>855</v>
      </c>
      <c r="K128" s="5">
        <v>0.00211629996509961</v>
      </c>
    </row>
    <row r="129" spans="1:11">
      <c r="A129" t="s">
        <v>143</v>
      </c>
      <c r="B129" t="s">
        <v>150</v>
      </c>
      <c r="C129" t="s">
        <v>16</v>
      </c>
      <c r="D129" t="s">
        <v>23</v>
      </c>
      <c r="E129" s="4">
        <v>1</v>
      </c>
      <c r="F129" s="5">
        <v>10637</v>
      </c>
      <c r="G129" s="5">
        <v>0.0105591788518618</v>
      </c>
      <c r="H129" s="5">
        <v>215</v>
      </c>
      <c r="I129" s="5">
        <v>0.000576418324204476</v>
      </c>
      <c r="J129" s="5">
        <v>701</v>
      </c>
      <c r="K129" s="5">
        <v>0.00173511845091793</v>
      </c>
    </row>
    <row r="130" spans="1:11">
      <c r="A130" t="s">
        <v>143</v>
      </c>
      <c r="B130" t="s">
        <v>151</v>
      </c>
      <c r="C130" t="s">
        <v>16</v>
      </c>
      <c r="D130" t="s">
        <v>23</v>
      </c>
      <c r="E130" s="4">
        <v>1</v>
      </c>
      <c r="F130" s="5">
        <v>1457</v>
      </c>
      <c r="G130" s="5">
        <v>0.00144634047073071</v>
      </c>
      <c r="H130" s="5">
        <v>455</v>
      </c>
      <c r="I130" s="5">
        <v>0.00121986203494436</v>
      </c>
      <c r="J130" s="5">
        <v>631</v>
      </c>
      <c r="K130" s="5">
        <v>0.00156185412628989</v>
      </c>
    </row>
    <row r="131" spans="1:11">
      <c r="A131" t="s">
        <v>143</v>
      </c>
      <c r="B131" t="s">
        <v>152</v>
      </c>
      <c r="C131" t="s">
        <v>16</v>
      </c>
      <c r="D131" t="s">
        <v>23</v>
      </c>
      <c r="E131" s="4">
        <v>1</v>
      </c>
      <c r="F131" s="5">
        <v>9262</v>
      </c>
      <c r="G131" s="5">
        <v>0.00919423846253115</v>
      </c>
      <c r="H131" s="5">
        <v>493</v>
      </c>
      <c r="I131" s="5">
        <v>0.00132174062247817</v>
      </c>
      <c r="J131" s="5">
        <v>445</v>
      </c>
      <c r="K131" s="5">
        <v>0.00110146606370682</v>
      </c>
    </row>
    <row r="132" spans="1:11">
      <c r="A132" t="s">
        <v>143</v>
      </c>
      <c r="B132" t="s">
        <v>153</v>
      </c>
      <c r="C132" t="s">
        <v>16</v>
      </c>
      <c r="D132" t="s">
        <v>23</v>
      </c>
      <c r="E132" s="4">
        <v>1</v>
      </c>
      <c r="F132" s="5">
        <v>13468</v>
      </c>
      <c r="G132" s="5">
        <v>0.0133694670280036</v>
      </c>
      <c r="H132" s="5">
        <v>381</v>
      </c>
      <c r="I132" s="5">
        <v>0.00102146689079956</v>
      </c>
      <c r="J132" s="5">
        <v>585</v>
      </c>
      <c r="K132" s="5">
        <v>0.00144799471296289</v>
      </c>
    </row>
    <row r="133" spans="1:11">
      <c r="A133" t="s">
        <v>143</v>
      </c>
      <c r="B133" t="s">
        <v>154</v>
      </c>
      <c r="C133" t="s">
        <v>16</v>
      </c>
      <c r="D133" t="s">
        <v>23</v>
      </c>
      <c r="E133" s="4">
        <v>1</v>
      </c>
      <c r="F133" s="5">
        <v>10463</v>
      </c>
      <c r="G133" s="5">
        <v>0.0103864518498665</v>
      </c>
      <c r="H133" s="5">
        <v>445</v>
      </c>
      <c r="I133" s="5">
        <v>0.00119305188033019</v>
      </c>
      <c r="J133" s="5">
        <v>658</v>
      </c>
      <c r="K133" s="5">
        <v>0.00162868465150356</v>
      </c>
    </row>
    <row r="134" spans="1:11">
      <c r="A134" t="s">
        <v>143</v>
      </c>
      <c r="B134" t="s">
        <v>155</v>
      </c>
      <c r="C134" t="s">
        <v>16</v>
      </c>
      <c r="D134" t="s">
        <v>23</v>
      </c>
      <c r="E134" s="4">
        <v>1</v>
      </c>
      <c r="F134" s="5">
        <v>10244</v>
      </c>
      <c r="G134" s="5">
        <v>0.0101690540714931</v>
      </c>
      <c r="H134" s="5">
        <v>319</v>
      </c>
      <c r="I134" s="5">
        <v>0.000855243932191757</v>
      </c>
      <c r="J134" s="5">
        <v>460</v>
      </c>
      <c r="K134" s="5">
        <v>0.00113859413326997</v>
      </c>
    </row>
    <row r="135" spans="1:11">
      <c r="A135" t="s">
        <v>156</v>
      </c>
      <c r="B135" t="s">
        <v>157</v>
      </c>
      <c r="C135" t="s">
        <v>16</v>
      </c>
      <c r="D135" t="s">
        <v>14</v>
      </c>
      <c r="E135" s="4">
        <v>1</v>
      </c>
      <c r="F135" s="5">
        <v>1720</v>
      </c>
      <c r="G135" s="5">
        <v>0.00170741634156268</v>
      </c>
      <c r="H135" s="5">
        <v>42</v>
      </c>
      <c r="I135" s="5">
        <v>0.000112602649379479</v>
      </c>
      <c r="J135" s="5">
        <v>111</v>
      </c>
      <c r="K135" s="5">
        <v>0.000274747714767318</v>
      </c>
    </row>
    <row r="136" spans="1:11">
      <c r="A136" t="s">
        <v>156</v>
      </c>
      <c r="B136" t="s">
        <v>158</v>
      </c>
      <c r="C136" t="s">
        <v>16</v>
      </c>
      <c r="D136" t="s">
        <v>14</v>
      </c>
      <c r="E136" s="4">
        <v>1</v>
      </c>
      <c r="F136" s="5">
        <v>45</v>
      </c>
      <c r="G136" s="5">
        <v>4.46707763780935e-5</v>
      </c>
      <c r="H136" s="5">
        <v>0</v>
      </c>
      <c r="I136" s="5">
        <v>0</v>
      </c>
      <c r="J136" s="5">
        <v>0</v>
      </c>
      <c r="K136" s="5">
        <v>0</v>
      </c>
    </row>
    <row r="137" spans="1:11">
      <c r="A137" t="s">
        <v>156</v>
      </c>
      <c r="B137" t="s">
        <v>159</v>
      </c>
      <c r="C137" t="s">
        <v>16</v>
      </c>
      <c r="D137" t="s">
        <v>14</v>
      </c>
      <c r="E137" s="4">
        <v>1</v>
      </c>
      <c r="F137" s="5">
        <v>2064</v>
      </c>
      <c r="G137" s="5">
        <v>0.00204889960987522</v>
      </c>
      <c r="H137" s="5">
        <v>175</v>
      </c>
      <c r="I137" s="5">
        <v>0.000469177705747829</v>
      </c>
      <c r="J137" s="5">
        <v>530</v>
      </c>
      <c r="K137" s="5">
        <v>0.00131185845789801</v>
      </c>
    </row>
    <row r="138" spans="1:11">
      <c r="A138" t="s">
        <v>156</v>
      </c>
      <c r="B138" t="s">
        <v>160</v>
      </c>
      <c r="C138" t="s">
        <v>16</v>
      </c>
      <c r="D138" t="s">
        <v>14</v>
      </c>
      <c r="E138" s="4">
        <v>1</v>
      </c>
      <c r="F138" s="5">
        <v>7143</v>
      </c>
      <c r="G138" s="5">
        <v>0.0070907412370827</v>
      </c>
      <c r="H138" s="5">
        <v>283</v>
      </c>
      <c r="I138" s="5">
        <v>0.000758727375580775</v>
      </c>
      <c r="J138" s="5">
        <v>679</v>
      </c>
      <c r="K138" s="5">
        <v>0.00168066394889197</v>
      </c>
    </row>
    <row r="139" spans="1:11">
      <c r="A139" t="s">
        <v>156</v>
      </c>
      <c r="B139" t="s">
        <v>161</v>
      </c>
      <c r="C139" t="s">
        <v>16</v>
      </c>
      <c r="D139" t="s">
        <v>14</v>
      </c>
      <c r="E139" s="4">
        <v>1</v>
      </c>
      <c r="F139" s="5">
        <v>566</v>
      </c>
      <c r="G139" s="5">
        <v>0.000561859098444464</v>
      </c>
      <c r="H139" s="5">
        <v>199</v>
      </c>
      <c r="I139" s="5">
        <v>0.000533522076821817</v>
      </c>
      <c r="J139" s="5">
        <v>0</v>
      </c>
      <c r="K139" s="5">
        <v>0</v>
      </c>
    </row>
    <row r="140" spans="1:11">
      <c r="A140" t="s">
        <v>156</v>
      </c>
      <c r="B140" t="s">
        <v>162</v>
      </c>
      <c r="C140" t="s">
        <v>16</v>
      </c>
      <c r="D140" t="s">
        <v>14</v>
      </c>
      <c r="E140" s="4">
        <v>1</v>
      </c>
      <c r="F140" s="5">
        <v>6873</v>
      </c>
      <c r="G140" s="5">
        <v>0.00682271657881414</v>
      </c>
      <c r="H140" s="5">
        <v>90</v>
      </c>
      <c r="I140" s="5">
        <v>0.000241291391527455</v>
      </c>
      <c r="J140" s="5">
        <v>410</v>
      </c>
      <c r="K140" s="5">
        <v>0.0010148339013928</v>
      </c>
    </row>
    <row r="141" spans="1:11">
      <c r="A141" t="s">
        <v>156</v>
      </c>
      <c r="B141" t="s">
        <v>163</v>
      </c>
      <c r="C141" t="s">
        <v>16</v>
      </c>
      <c r="D141" t="s">
        <v>23</v>
      </c>
      <c r="E141" s="4">
        <v>1</v>
      </c>
      <c r="F141" s="5">
        <v>12694</v>
      </c>
      <c r="G141" s="5">
        <v>0.0126011296743004</v>
      </c>
      <c r="H141" s="5">
        <v>1003</v>
      </c>
      <c r="I141" s="5">
        <v>0.00268905850780041</v>
      </c>
      <c r="J141" s="5">
        <v>2264</v>
      </c>
      <c r="K141" s="5">
        <v>0.00560386329939828</v>
      </c>
    </row>
    <row r="142" spans="1:11">
      <c r="A142" t="s">
        <v>156</v>
      </c>
      <c r="B142" t="s">
        <v>164</v>
      </c>
      <c r="C142" t="s">
        <v>16</v>
      </c>
      <c r="D142" t="s">
        <v>23</v>
      </c>
      <c r="E142" s="4">
        <v>1</v>
      </c>
      <c r="F142" s="5">
        <v>1229</v>
      </c>
      <c r="G142" s="5">
        <v>0.00122000853708171</v>
      </c>
      <c r="H142" s="5">
        <v>991</v>
      </c>
      <c r="I142" s="5">
        <v>0.00265688632226342</v>
      </c>
      <c r="J142" s="5">
        <v>1887</v>
      </c>
      <c r="K142" s="5">
        <v>0.00467071115104441</v>
      </c>
    </row>
    <row r="143" spans="1:11">
      <c r="A143" t="s">
        <v>156</v>
      </c>
      <c r="B143" t="s">
        <v>165</v>
      </c>
      <c r="C143" t="s">
        <v>16</v>
      </c>
      <c r="D143" t="s">
        <v>23</v>
      </c>
      <c r="E143" s="4">
        <v>1</v>
      </c>
      <c r="F143" s="5">
        <v>11094</v>
      </c>
      <c r="G143" s="5">
        <v>0.0110128354030793</v>
      </c>
      <c r="H143" s="5">
        <v>1119</v>
      </c>
      <c r="I143" s="5">
        <v>0.00300005630132469</v>
      </c>
      <c r="J143" s="5">
        <v>2019</v>
      </c>
      <c r="K143" s="5">
        <v>0.00499743816320014</v>
      </c>
    </row>
    <row r="144" spans="1:11">
      <c r="A144" t="s">
        <v>156</v>
      </c>
      <c r="B144" t="s">
        <v>166</v>
      </c>
      <c r="C144" t="s">
        <v>16</v>
      </c>
      <c r="D144" t="s">
        <v>23</v>
      </c>
      <c r="E144" s="4">
        <v>1</v>
      </c>
      <c r="F144" s="5">
        <v>8102</v>
      </c>
      <c r="G144" s="5">
        <v>0.00804272511589585</v>
      </c>
      <c r="H144" s="5">
        <v>154</v>
      </c>
      <c r="I144" s="5">
        <v>0.00041287638105809</v>
      </c>
      <c r="J144" s="5">
        <v>301</v>
      </c>
      <c r="K144" s="5">
        <v>0.000745036595900566</v>
      </c>
    </row>
    <row r="145" spans="1:11">
      <c r="A145" t="s">
        <v>156</v>
      </c>
      <c r="B145" t="s">
        <v>167</v>
      </c>
      <c r="C145" t="s">
        <v>16</v>
      </c>
      <c r="D145" t="s">
        <v>23</v>
      </c>
      <c r="E145" s="4">
        <v>1</v>
      </c>
      <c r="F145" s="5">
        <v>12315</v>
      </c>
      <c r="G145" s="5">
        <v>0.0122249024688049</v>
      </c>
      <c r="H145" s="5">
        <v>146</v>
      </c>
      <c r="I145" s="5">
        <v>0.00039142825736676</v>
      </c>
      <c r="J145" s="5">
        <v>251</v>
      </c>
      <c r="K145" s="5">
        <v>0.000621276364023396</v>
      </c>
    </row>
    <row r="146" spans="1:11">
      <c r="A146" t="s">
        <v>156</v>
      </c>
      <c r="B146" t="s">
        <v>168</v>
      </c>
      <c r="C146" t="s">
        <v>16</v>
      </c>
      <c r="D146" t="s">
        <v>23</v>
      </c>
      <c r="E146" s="4">
        <v>1</v>
      </c>
      <c r="F146" s="5">
        <v>10991</v>
      </c>
      <c r="G146" s="5">
        <v>0.0109105889593694</v>
      </c>
      <c r="H146" s="5">
        <v>1117</v>
      </c>
      <c r="I146" s="5">
        <v>0.00299469427040186</v>
      </c>
      <c r="J146" s="5">
        <v>1198</v>
      </c>
      <c r="K146" s="5">
        <v>0.002965295155777</v>
      </c>
    </row>
    <row r="147" spans="1:11">
      <c r="A147" t="s">
        <v>169</v>
      </c>
      <c r="B147" t="s">
        <v>170</v>
      </c>
      <c r="C147" t="s">
        <v>16</v>
      </c>
      <c r="D147" t="s">
        <v>14</v>
      </c>
      <c r="E147" s="4">
        <v>1</v>
      </c>
      <c r="F147" s="5">
        <v>19059</v>
      </c>
      <c r="G147" s="5">
        <v>0.0189195628220018</v>
      </c>
      <c r="H147" s="5">
        <v>714</v>
      </c>
      <c r="I147" s="5">
        <v>0.00191424503945114</v>
      </c>
      <c r="J147" s="5">
        <v>236</v>
      </c>
      <c r="K147" s="5">
        <v>0.000584148294460245</v>
      </c>
    </row>
    <row r="148" spans="1:11">
      <c r="A148" t="s">
        <v>169</v>
      </c>
      <c r="B148" t="s">
        <v>171</v>
      </c>
      <c r="C148" t="s">
        <v>16</v>
      </c>
      <c r="D148" t="s">
        <v>14</v>
      </c>
      <c r="E148" s="4">
        <v>1</v>
      </c>
      <c r="F148" s="5">
        <v>29600</v>
      </c>
      <c r="G148" s="5">
        <v>0.0293834440175904</v>
      </c>
      <c r="H148" s="5">
        <v>666</v>
      </c>
      <c r="I148" s="5">
        <v>0.00178555629730317</v>
      </c>
      <c r="J148" s="5">
        <v>51</v>
      </c>
      <c r="K148" s="5">
        <v>0.000126235436514714</v>
      </c>
    </row>
    <row r="149" spans="1:11">
      <c r="A149" t="s">
        <v>169</v>
      </c>
      <c r="B149" t="s">
        <v>172</v>
      </c>
      <c r="C149" t="s">
        <v>16</v>
      </c>
      <c r="D149" t="s">
        <v>14</v>
      </c>
      <c r="E149" s="4">
        <v>1</v>
      </c>
      <c r="F149" s="5">
        <v>25003</v>
      </c>
      <c r="G149" s="5">
        <v>0.0248200760395882</v>
      </c>
      <c r="H149" s="5">
        <v>1016</v>
      </c>
      <c r="I149" s="5">
        <v>0.00272391170879882</v>
      </c>
      <c r="J149" s="5">
        <v>92</v>
      </c>
      <c r="K149" s="5">
        <v>0.000227718826653994</v>
      </c>
    </row>
    <row r="150" spans="1:11">
      <c r="A150" t="s">
        <v>169</v>
      </c>
      <c r="B150" t="s">
        <v>173</v>
      </c>
      <c r="C150" t="s">
        <v>16</v>
      </c>
      <c r="D150" t="s">
        <v>14</v>
      </c>
      <c r="E150" s="4">
        <v>1</v>
      </c>
      <c r="F150" s="5">
        <v>12760</v>
      </c>
      <c r="G150" s="5">
        <v>0.0126666468129883</v>
      </c>
      <c r="H150" s="5">
        <v>995</v>
      </c>
      <c r="I150" s="5">
        <v>0.00266761038410909</v>
      </c>
      <c r="J150" s="5">
        <v>38</v>
      </c>
      <c r="K150" s="5">
        <v>9.40577762266495e-5</v>
      </c>
    </row>
    <row r="151" spans="1:11">
      <c r="A151" t="s">
        <v>169</v>
      </c>
      <c r="B151" t="s">
        <v>174</v>
      </c>
      <c r="C151" t="s">
        <v>16</v>
      </c>
      <c r="D151" t="s">
        <v>14</v>
      </c>
      <c r="E151" s="4">
        <v>1</v>
      </c>
      <c r="F151" s="5">
        <v>24801</v>
      </c>
      <c r="G151" s="5">
        <v>0.0246195538878466</v>
      </c>
      <c r="H151" s="5">
        <v>259</v>
      </c>
      <c r="I151" s="5">
        <v>0.000694383004506787</v>
      </c>
      <c r="J151" s="5">
        <v>82</v>
      </c>
      <c r="K151" s="5">
        <v>0.00020296678027856</v>
      </c>
    </row>
    <row r="152" spans="1:11">
      <c r="A152" t="s">
        <v>169</v>
      </c>
      <c r="B152" t="s">
        <v>175</v>
      </c>
      <c r="C152" t="s">
        <v>16</v>
      </c>
      <c r="D152" t="s">
        <v>14</v>
      </c>
      <c r="E152" s="4">
        <v>1</v>
      </c>
      <c r="F152" s="5">
        <v>24790</v>
      </c>
      <c r="G152" s="5">
        <v>0.0246086343647319</v>
      </c>
      <c r="H152" s="5">
        <v>759</v>
      </c>
      <c r="I152" s="5">
        <v>0.00203489073521487</v>
      </c>
      <c r="J152" s="5">
        <v>122</v>
      </c>
      <c r="K152" s="5">
        <v>0.000301974965780296</v>
      </c>
    </row>
    <row r="153" spans="1:11">
      <c r="A153" t="s">
        <v>169</v>
      </c>
      <c r="B153" t="s">
        <v>176</v>
      </c>
      <c r="C153" t="s">
        <v>16</v>
      </c>
      <c r="D153" t="s">
        <v>23</v>
      </c>
      <c r="E153" s="4">
        <v>1</v>
      </c>
      <c r="F153" s="5">
        <v>25863</v>
      </c>
      <c r="G153" s="5">
        <v>0.0256737842103696</v>
      </c>
      <c r="H153" s="5">
        <v>912</v>
      </c>
      <c r="I153" s="5">
        <v>0.00244508610081154</v>
      </c>
      <c r="J153" s="5">
        <v>639</v>
      </c>
      <c r="K153" s="5">
        <v>0.00158165576339024</v>
      </c>
    </row>
    <row r="154" spans="1:11">
      <c r="A154" t="s">
        <v>169</v>
      </c>
      <c r="B154" t="s">
        <v>177</v>
      </c>
      <c r="C154" t="s">
        <v>16</v>
      </c>
      <c r="D154" t="s">
        <v>23</v>
      </c>
      <c r="E154" s="4">
        <v>1</v>
      </c>
      <c r="F154" s="5">
        <v>25842</v>
      </c>
      <c r="G154" s="5">
        <v>0.0256529378480598</v>
      </c>
      <c r="H154" s="5">
        <v>927</v>
      </c>
      <c r="I154" s="5">
        <v>0.00248530133273279</v>
      </c>
      <c r="J154" s="5">
        <v>835</v>
      </c>
      <c r="K154" s="5">
        <v>0.00206679587234875</v>
      </c>
    </row>
    <row r="155" spans="1:11">
      <c r="A155" t="s">
        <v>169</v>
      </c>
      <c r="B155" t="s">
        <v>178</v>
      </c>
      <c r="C155" t="s">
        <v>16</v>
      </c>
      <c r="D155" t="s">
        <v>23</v>
      </c>
      <c r="E155" s="4">
        <v>1</v>
      </c>
      <c r="F155" s="5">
        <v>35768</v>
      </c>
      <c r="G155" s="5">
        <v>0.0355063184331477</v>
      </c>
      <c r="H155" s="5">
        <v>644</v>
      </c>
      <c r="I155" s="5">
        <v>0.00172657395715201</v>
      </c>
      <c r="J155" s="5">
        <v>498</v>
      </c>
      <c r="K155" s="5">
        <v>0.00123265190949662</v>
      </c>
    </row>
    <row r="156" spans="1:11">
      <c r="A156" t="s">
        <v>169</v>
      </c>
      <c r="B156" t="s">
        <v>179</v>
      </c>
      <c r="C156" t="s">
        <v>16</v>
      </c>
      <c r="D156" t="s">
        <v>23</v>
      </c>
      <c r="E156" s="4">
        <v>1</v>
      </c>
      <c r="F156" s="5">
        <v>31014</v>
      </c>
      <c r="G156" s="5">
        <v>0.030787099079782</v>
      </c>
      <c r="H156" s="5">
        <v>874</v>
      </c>
      <c r="I156" s="5">
        <v>0.00234320751327773</v>
      </c>
      <c r="J156" s="5">
        <v>319</v>
      </c>
      <c r="K156" s="5">
        <v>0.000789590279376347</v>
      </c>
    </row>
    <row r="157" spans="1:11">
      <c r="A157" t="s">
        <v>169</v>
      </c>
      <c r="B157" t="s">
        <v>180</v>
      </c>
      <c r="C157" t="s">
        <v>16</v>
      </c>
      <c r="D157" t="s">
        <v>23</v>
      </c>
      <c r="E157" s="4">
        <v>1</v>
      </c>
      <c r="F157" s="5">
        <v>19186</v>
      </c>
      <c r="G157" s="5">
        <v>0.01904563367978</v>
      </c>
      <c r="H157" s="5">
        <v>992</v>
      </c>
      <c r="I157" s="5">
        <v>0.00265956733772484</v>
      </c>
      <c r="J157" s="5">
        <v>815</v>
      </c>
      <c r="K157" s="5">
        <v>0.00201729177959788</v>
      </c>
    </row>
    <row r="158" spans="1:11">
      <c r="A158" t="s">
        <v>169</v>
      </c>
      <c r="B158" t="s">
        <v>181</v>
      </c>
      <c r="C158" t="s">
        <v>16</v>
      </c>
      <c r="D158" t="s">
        <v>23</v>
      </c>
      <c r="E158" s="4">
        <v>1</v>
      </c>
      <c r="F158" s="5">
        <v>29829</v>
      </c>
      <c r="G158" s="5">
        <v>0.0296107686351589</v>
      </c>
      <c r="H158" s="5">
        <v>843</v>
      </c>
      <c r="I158" s="5">
        <v>0.00226009603397383</v>
      </c>
      <c r="J158" s="5">
        <v>552</v>
      </c>
      <c r="K158" s="5">
        <v>0.00136631295992396</v>
      </c>
    </row>
    <row r="159" spans="1:11">
      <c r="A159" t="s">
        <v>182</v>
      </c>
      <c r="B159" t="s">
        <v>183</v>
      </c>
      <c r="C159" t="s">
        <v>16</v>
      </c>
      <c r="D159" t="s">
        <v>14</v>
      </c>
      <c r="E159" s="4">
        <v>0.05</v>
      </c>
      <c r="F159" s="5">
        <v>7120</v>
      </c>
      <c r="G159" s="5">
        <v>0.0070679095069339</v>
      </c>
      <c r="H159" s="5">
        <v>79</v>
      </c>
      <c r="I159" s="5">
        <v>0.000211800221451877</v>
      </c>
      <c r="J159" s="5">
        <v>55</v>
      </c>
      <c r="K159" s="5">
        <v>0.000136136255064887</v>
      </c>
    </row>
    <row r="160" spans="1:11">
      <c r="A160" t="s">
        <v>182</v>
      </c>
      <c r="B160" t="s">
        <v>184</v>
      </c>
      <c r="C160" t="s">
        <v>16</v>
      </c>
      <c r="D160" t="s">
        <v>14</v>
      </c>
      <c r="E160" s="4">
        <v>0.25</v>
      </c>
      <c r="F160" s="5">
        <v>15427</v>
      </c>
      <c r="G160" s="5">
        <v>0.0153141348263299</v>
      </c>
      <c r="H160" s="5">
        <v>161</v>
      </c>
      <c r="I160" s="5">
        <v>0.000431643489288003</v>
      </c>
      <c r="J160" s="5">
        <v>91</v>
      </c>
      <c r="K160" s="5">
        <v>0.00022524362201645</v>
      </c>
    </row>
    <row r="161" spans="1:11">
      <c r="A161" t="s">
        <v>182</v>
      </c>
      <c r="B161" t="s">
        <v>185</v>
      </c>
      <c r="C161" t="s">
        <v>16</v>
      </c>
      <c r="D161" t="s">
        <v>14</v>
      </c>
      <c r="E161" s="4">
        <v>0.1</v>
      </c>
      <c r="F161" s="5">
        <v>7454</v>
      </c>
      <c r="G161" s="5">
        <v>0.0073994659360513</v>
      </c>
      <c r="H161" s="5">
        <v>139</v>
      </c>
      <c r="I161" s="5">
        <v>0.000372661149136847</v>
      </c>
      <c r="J161" s="5">
        <v>116</v>
      </c>
      <c r="K161" s="5">
        <v>0.000287123737955035</v>
      </c>
    </row>
    <row r="162" spans="1:11">
      <c r="A162" t="s">
        <v>182</v>
      </c>
      <c r="B162" t="s">
        <v>186</v>
      </c>
      <c r="C162" t="s">
        <v>16</v>
      </c>
      <c r="D162" t="s">
        <v>14</v>
      </c>
      <c r="E162" s="4">
        <v>0.065</v>
      </c>
      <c r="F162" s="5">
        <v>0</v>
      </c>
      <c r="G162" s="5">
        <v>0</v>
      </c>
      <c r="H162" s="5">
        <v>240</v>
      </c>
      <c r="I162" s="5">
        <v>0.00064344371073988</v>
      </c>
      <c r="J162" s="5">
        <v>374</v>
      </c>
      <c r="K162" s="5">
        <v>0.000925726534441235</v>
      </c>
    </row>
    <row r="163" spans="1:11">
      <c r="A163" t="s">
        <v>182</v>
      </c>
      <c r="B163" t="s">
        <v>187</v>
      </c>
      <c r="C163" t="s">
        <v>16</v>
      </c>
      <c r="D163" t="s">
        <v>14</v>
      </c>
      <c r="E163" s="4">
        <v>0.15</v>
      </c>
      <c r="F163" s="5">
        <v>3007</v>
      </c>
      <c r="G163" s="5">
        <v>0.00298500054597616</v>
      </c>
      <c r="H163" s="5">
        <v>201</v>
      </c>
      <c r="I163" s="5">
        <v>0.000538884107744649</v>
      </c>
      <c r="J163" s="5">
        <v>126</v>
      </c>
      <c r="K163" s="5">
        <v>0.00031187578433047</v>
      </c>
    </row>
    <row r="164" spans="1:11">
      <c r="A164" t="s">
        <v>182</v>
      </c>
      <c r="B164" t="s">
        <v>188</v>
      </c>
      <c r="C164" t="s">
        <v>16</v>
      </c>
      <c r="D164" t="s">
        <v>14</v>
      </c>
      <c r="E164" s="4">
        <v>0.225</v>
      </c>
      <c r="F164" s="5">
        <v>10471</v>
      </c>
      <c r="G164" s="5">
        <v>0.0103943933212226</v>
      </c>
      <c r="H164" s="5">
        <v>268</v>
      </c>
      <c r="I164" s="5">
        <v>0.000718512143659532</v>
      </c>
      <c r="J164" s="5">
        <v>208</v>
      </c>
      <c r="K164" s="5">
        <v>0.000514842564609029</v>
      </c>
    </row>
    <row r="165" spans="1:11">
      <c r="A165" t="s">
        <v>182</v>
      </c>
      <c r="B165" t="s">
        <v>189</v>
      </c>
      <c r="C165" t="s">
        <v>16</v>
      </c>
      <c r="D165" t="s">
        <v>23</v>
      </c>
      <c r="E165" s="4">
        <v>1</v>
      </c>
      <c r="F165" s="5">
        <v>21697</v>
      </c>
      <c r="G165" s="5">
        <v>0.0215382630016776</v>
      </c>
      <c r="H165" s="5">
        <v>111</v>
      </c>
      <c r="I165" s="5">
        <v>0.000297592716217194</v>
      </c>
      <c r="J165" s="5">
        <v>280</v>
      </c>
      <c r="K165" s="5">
        <v>0.000693057298512155</v>
      </c>
    </row>
    <row r="166" spans="1:11">
      <c r="A166" t="s">
        <v>182</v>
      </c>
      <c r="B166" t="s">
        <v>190</v>
      </c>
      <c r="C166" t="s">
        <v>16</v>
      </c>
      <c r="D166" t="s">
        <v>23</v>
      </c>
      <c r="E166" s="4">
        <v>1</v>
      </c>
      <c r="F166" s="5">
        <v>23870</v>
      </c>
      <c r="G166" s="5">
        <v>0.0236953651587798</v>
      </c>
      <c r="H166" s="5">
        <v>456</v>
      </c>
      <c r="I166" s="5">
        <v>0.00122254305040577</v>
      </c>
      <c r="J166" s="5">
        <v>1047</v>
      </c>
      <c r="K166" s="5">
        <v>0.00259153925550795</v>
      </c>
    </row>
    <row r="167" spans="1:11">
      <c r="A167" t="s">
        <v>182</v>
      </c>
      <c r="B167" t="s">
        <v>191</v>
      </c>
      <c r="C167" t="s">
        <v>16</v>
      </c>
      <c r="D167" t="s">
        <v>23</v>
      </c>
      <c r="E167" s="4">
        <v>1</v>
      </c>
      <c r="F167" s="5">
        <v>14968</v>
      </c>
      <c r="G167" s="5">
        <v>0.0148584929072734</v>
      </c>
      <c r="H167" s="5">
        <v>210</v>
      </c>
      <c r="I167" s="5">
        <v>0.000563013246897395</v>
      </c>
      <c r="J167" s="5">
        <v>346</v>
      </c>
      <c r="K167" s="5">
        <v>0.000856420804590019</v>
      </c>
    </row>
    <row r="168" spans="1:11">
      <c r="A168" t="s">
        <v>182</v>
      </c>
      <c r="B168" t="s">
        <v>192</v>
      </c>
      <c r="C168" t="s">
        <v>16</v>
      </c>
      <c r="D168" t="s">
        <v>23</v>
      </c>
      <c r="E168" s="4">
        <v>1</v>
      </c>
      <c r="F168" s="5">
        <v>24684</v>
      </c>
      <c r="G168" s="5">
        <v>0.0245034098692635</v>
      </c>
      <c r="H168" s="5">
        <v>346</v>
      </c>
      <c r="I168" s="5">
        <v>0.000927631349649993</v>
      </c>
      <c r="J168" s="5">
        <v>387</v>
      </c>
      <c r="K168" s="5">
        <v>0.000957904194729299</v>
      </c>
    </row>
    <row r="169" spans="1:11">
      <c r="A169" t="s">
        <v>182</v>
      </c>
      <c r="B169" t="s">
        <v>193</v>
      </c>
      <c r="C169" t="s">
        <v>16</v>
      </c>
      <c r="D169" t="s">
        <v>23</v>
      </c>
      <c r="E169" s="4">
        <v>1</v>
      </c>
      <c r="F169" s="5">
        <v>23612</v>
      </c>
      <c r="G169" s="5">
        <v>0.0234392527075454</v>
      </c>
      <c r="H169" s="5">
        <v>393</v>
      </c>
      <c r="I169" s="5">
        <v>0.00105363907633655</v>
      </c>
      <c r="J169" s="5">
        <v>289</v>
      </c>
      <c r="K169" s="5">
        <v>0.000715334140250045</v>
      </c>
    </row>
    <row r="170" spans="1:11">
      <c r="A170" t="s">
        <v>182</v>
      </c>
      <c r="B170" t="s">
        <v>194</v>
      </c>
      <c r="C170" t="s">
        <v>16</v>
      </c>
      <c r="D170" t="s">
        <v>23</v>
      </c>
      <c r="E170" s="4">
        <v>1</v>
      </c>
      <c r="F170" s="5">
        <v>12377</v>
      </c>
      <c r="G170" s="5">
        <v>0.0122864488718147</v>
      </c>
      <c r="H170" s="5">
        <v>456</v>
      </c>
      <c r="I170" s="5">
        <v>0.00122254305040577</v>
      </c>
      <c r="J170" s="5">
        <v>564</v>
      </c>
      <c r="K170" s="5">
        <v>0.00139601541557448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selection activeCell="B36" sqref="B36"/>
    </sheetView>
  </sheetViews>
  <sheetFormatPr defaultColWidth="8.8" defaultRowHeight="15"/>
  <cols>
    <col min="1" max="1" width="17" customWidth="1"/>
    <col min="2" max="2" width="12.7" style="4" customWidth="1"/>
    <col min="3" max="3" width="12.5"/>
    <col min="4" max="4" width="12.5" customWidth="1"/>
    <col min="5" max="5" width="12.5"/>
    <col min="6" max="6" width="6.7" customWidth="1"/>
    <col min="7" max="7" width="7.9" style="28" customWidth="1"/>
    <col min="8" max="8" width="7.6" customWidth="1"/>
  </cols>
  <sheetData>
    <row r="1" spans="1:1">
      <c r="A1" s="6" t="s">
        <v>195</v>
      </c>
    </row>
    <row r="2" spans="1:10">
      <c r="A2" s="6" t="s">
        <v>0</v>
      </c>
      <c r="B2" s="29" t="s">
        <v>196</v>
      </c>
      <c r="C2" s="7" t="s">
        <v>197</v>
      </c>
      <c r="D2" s="7" t="s">
        <v>198</v>
      </c>
      <c r="E2" s="29" t="s">
        <v>199</v>
      </c>
      <c r="F2" s="7" t="s">
        <v>200</v>
      </c>
      <c r="G2" s="7" t="s">
        <v>201</v>
      </c>
      <c r="H2" s="29" t="s">
        <v>202</v>
      </c>
      <c r="I2" s="7" t="s">
        <v>203</v>
      </c>
      <c r="J2" s="7" t="s">
        <v>204</v>
      </c>
    </row>
    <row r="3" spans="1:10">
      <c r="A3" s="30" t="s">
        <v>11</v>
      </c>
      <c r="B3" s="9" t="s">
        <v>205</v>
      </c>
      <c r="C3" s="9" t="s">
        <v>205</v>
      </c>
      <c r="D3" s="9" t="s">
        <v>205</v>
      </c>
      <c r="E3" s="9" t="s">
        <v>205</v>
      </c>
      <c r="F3" s="9" t="s">
        <v>205</v>
      </c>
      <c r="G3" s="33" t="s">
        <v>206</v>
      </c>
      <c r="H3" s="33" t="s">
        <v>206</v>
      </c>
      <c r="I3" s="33" t="s">
        <v>206</v>
      </c>
      <c r="J3" s="33" t="s">
        <v>207</v>
      </c>
    </row>
    <row r="4" spans="1:10">
      <c r="A4" s="30" t="s">
        <v>36</v>
      </c>
      <c r="B4" s="9" t="s">
        <v>205</v>
      </c>
      <c r="C4" s="9" t="s">
        <v>205</v>
      </c>
      <c r="D4" s="9" t="s">
        <v>205</v>
      </c>
      <c r="E4" s="9" t="s">
        <v>205</v>
      </c>
      <c r="F4" s="9" t="s">
        <v>205</v>
      </c>
      <c r="G4" s="33" t="s">
        <v>207</v>
      </c>
      <c r="H4" s="9" t="s">
        <v>205</v>
      </c>
      <c r="I4" s="9" t="s">
        <v>205</v>
      </c>
      <c r="J4" s="33" t="s">
        <v>206</v>
      </c>
    </row>
    <row r="5" spans="1:10">
      <c r="A5" s="30" t="s">
        <v>55</v>
      </c>
      <c r="B5" s="9" t="s">
        <v>205</v>
      </c>
      <c r="C5" s="9" t="s">
        <v>205</v>
      </c>
      <c r="D5" s="9" t="s">
        <v>205</v>
      </c>
      <c r="E5" s="9" t="s">
        <v>205</v>
      </c>
      <c r="F5" s="9" t="s">
        <v>205</v>
      </c>
      <c r="G5" s="9" t="s">
        <v>205</v>
      </c>
      <c r="H5" s="9" t="s">
        <v>205</v>
      </c>
      <c r="I5" s="9" t="s">
        <v>205</v>
      </c>
      <c r="J5" s="9" t="s">
        <v>205</v>
      </c>
    </row>
    <row r="6" spans="1:10">
      <c r="A6" s="30" t="s">
        <v>72</v>
      </c>
      <c r="B6" s="31" t="s">
        <v>206</v>
      </c>
      <c r="C6" s="32" t="s">
        <v>205</v>
      </c>
      <c r="D6" s="31" t="s">
        <v>208</v>
      </c>
      <c r="E6" s="31" t="s">
        <v>207</v>
      </c>
      <c r="F6" s="31" t="s">
        <v>207</v>
      </c>
      <c r="G6" s="31" t="s">
        <v>208</v>
      </c>
      <c r="H6" s="32" t="s">
        <v>205</v>
      </c>
      <c r="I6" s="35" t="s">
        <v>209</v>
      </c>
      <c r="J6" s="31" t="s">
        <v>208</v>
      </c>
    </row>
    <row r="7" spans="1:10">
      <c r="A7" s="30" t="s">
        <v>91</v>
      </c>
      <c r="B7" s="32" t="s">
        <v>205</v>
      </c>
      <c r="C7" s="32" t="s">
        <v>205</v>
      </c>
      <c r="D7" s="32" t="s">
        <v>205</v>
      </c>
      <c r="E7" s="31" t="s">
        <v>210</v>
      </c>
      <c r="F7" s="32" t="s">
        <v>205</v>
      </c>
      <c r="G7" s="31" t="s">
        <v>206</v>
      </c>
      <c r="H7" s="31" t="s">
        <v>207</v>
      </c>
      <c r="I7" s="31" t="s">
        <v>210</v>
      </c>
      <c r="J7" s="31" t="s">
        <v>206</v>
      </c>
    </row>
    <row r="8" spans="1:10">
      <c r="A8" s="30" t="s">
        <v>110</v>
      </c>
      <c r="B8" s="32" t="s">
        <v>208</v>
      </c>
      <c r="C8" s="32" t="s">
        <v>208</v>
      </c>
      <c r="D8" s="32" t="s">
        <v>208</v>
      </c>
      <c r="E8" s="32" t="s">
        <v>208</v>
      </c>
      <c r="F8" s="32" t="s">
        <v>208</v>
      </c>
      <c r="G8" s="32" t="s">
        <v>208</v>
      </c>
      <c r="H8" s="32" t="s">
        <v>208</v>
      </c>
      <c r="I8" s="32" t="s">
        <v>208</v>
      </c>
      <c r="J8" s="32" t="s">
        <v>208</v>
      </c>
    </row>
    <row r="9" spans="1:10">
      <c r="A9" s="30" t="s">
        <v>129</v>
      </c>
      <c r="B9" s="9" t="s">
        <v>211</v>
      </c>
      <c r="C9" s="9" t="s">
        <v>211</v>
      </c>
      <c r="D9" s="9" t="s">
        <v>212</v>
      </c>
      <c r="E9" s="9" t="s">
        <v>211</v>
      </c>
      <c r="F9" s="9" t="s">
        <v>211</v>
      </c>
      <c r="G9" s="9" t="s">
        <v>212</v>
      </c>
      <c r="H9" s="9" t="s">
        <v>211</v>
      </c>
      <c r="I9" s="9" t="s">
        <v>211</v>
      </c>
      <c r="J9" s="9" t="s">
        <v>212</v>
      </c>
    </row>
    <row r="10" spans="1:10">
      <c r="A10" s="30" t="s">
        <v>143</v>
      </c>
      <c r="B10" s="9" t="s">
        <v>211</v>
      </c>
      <c r="C10" s="9" t="s">
        <v>211</v>
      </c>
      <c r="D10" s="9" t="s">
        <v>212</v>
      </c>
      <c r="E10" s="33" t="s">
        <v>213</v>
      </c>
      <c r="F10" s="9" t="s">
        <v>211</v>
      </c>
      <c r="G10" s="9" t="s">
        <v>212</v>
      </c>
      <c r="H10" s="9" t="s">
        <v>211</v>
      </c>
      <c r="I10" s="9" t="s">
        <v>211</v>
      </c>
      <c r="J10" s="9" t="s">
        <v>212</v>
      </c>
    </row>
    <row r="11" spans="1:10">
      <c r="A11" s="30" t="s">
        <v>156</v>
      </c>
      <c r="B11" s="9" t="s">
        <v>211</v>
      </c>
      <c r="C11" s="9" t="s">
        <v>211</v>
      </c>
      <c r="D11" s="9" t="s">
        <v>212</v>
      </c>
      <c r="E11" s="33" t="s">
        <v>213</v>
      </c>
      <c r="F11" s="9" t="s">
        <v>211</v>
      </c>
      <c r="G11" s="9" t="s">
        <v>212</v>
      </c>
      <c r="H11" s="33" t="s">
        <v>214</v>
      </c>
      <c r="I11" s="9" t="s">
        <v>211</v>
      </c>
      <c r="J11" s="9" t="s">
        <v>212</v>
      </c>
    </row>
    <row r="12" spans="1:10">
      <c r="A12" s="30" t="s">
        <v>169</v>
      </c>
      <c r="B12" s="9" t="s">
        <v>211</v>
      </c>
      <c r="C12" s="9" t="s">
        <v>211</v>
      </c>
      <c r="D12" s="9" t="s">
        <v>212</v>
      </c>
      <c r="E12" s="9" t="s">
        <v>211</v>
      </c>
      <c r="F12" s="9" t="s">
        <v>211</v>
      </c>
      <c r="G12" s="9" t="s">
        <v>212</v>
      </c>
      <c r="H12" s="9" t="s">
        <v>211</v>
      </c>
      <c r="I12" s="9" t="s">
        <v>211</v>
      </c>
      <c r="J12" s="9" t="s">
        <v>212</v>
      </c>
    </row>
    <row r="13" spans="1:10">
      <c r="A13" s="30" t="s">
        <v>182</v>
      </c>
      <c r="B13" s="33" t="s">
        <v>213</v>
      </c>
      <c r="C13" s="9" t="s">
        <v>211</v>
      </c>
      <c r="D13" s="9" t="s">
        <v>212</v>
      </c>
      <c r="E13" s="9" t="s">
        <v>211</v>
      </c>
      <c r="F13" s="9" t="s">
        <v>211</v>
      </c>
      <c r="G13" s="9" t="s">
        <v>212</v>
      </c>
      <c r="H13" s="9" t="s">
        <v>211</v>
      </c>
      <c r="I13" s="9" t="s">
        <v>211</v>
      </c>
      <c r="J13" s="9" t="s">
        <v>212</v>
      </c>
    </row>
    <row r="15" spans="1:1">
      <c r="A15" s="6" t="s">
        <v>215</v>
      </c>
    </row>
    <row r="16" spans="1:4">
      <c r="A16" s="6" t="s">
        <v>216</v>
      </c>
      <c r="B16" s="6" t="s">
        <v>217</v>
      </c>
      <c r="C16" s="8" t="s">
        <v>218</v>
      </c>
      <c r="D16" s="6" t="s">
        <v>219</v>
      </c>
    </row>
    <row r="17" spans="1:4">
      <c r="A17" t="s">
        <v>220</v>
      </c>
      <c r="B17" t="s">
        <v>221</v>
      </c>
      <c r="C17" s="5">
        <f>SUM(5,5,5,4,5,6,6,6,6,5,5,5,5,5,5,6,6,6,6,6,5,5,5,5,5,5,5,3,2,6,5,5,6,6,5,5,5,3,5,6,6,6,6,6,4,3,5,4,4,5,5,5,3,6,6,4,6,6,4,5,5,2,2,6,6,6,6,6,3,4,5,4)</f>
        <v>359</v>
      </c>
      <c r="D17" s="34">
        <f>C17/405*100</f>
        <v>88.641975308642</v>
      </c>
    </row>
    <row r="18" spans="1:4">
      <c r="A18" t="s">
        <v>220</v>
      </c>
      <c r="B18" t="s">
        <v>222</v>
      </c>
      <c r="C18" s="5">
        <f>SUM(1,1,5,2,3,1,1,2,1,2,5,1,1,2,2,1,3,3,2,1,5,1)</f>
        <v>46</v>
      </c>
      <c r="D18" s="34">
        <f>C18/405*100</f>
        <v>11.358024691358</v>
      </c>
    </row>
    <row r="19" spans="1:4">
      <c r="A19" t="s">
        <v>223</v>
      </c>
      <c r="B19" t="s">
        <v>221</v>
      </c>
      <c r="C19" s="5">
        <f>SUM(5,5,5,4,5,6,6,6,6,5,5,5,5,5,5,6,6,6,6,6,5,5,5,5)</f>
        <v>128</v>
      </c>
      <c r="D19" s="34">
        <f t="shared" ref="D19:D24" si="0">C19/135*100</f>
        <v>94.8148148148148</v>
      </c>
    </row>
    <row r="20" spans="1:4">
      <c r="A20" t="s">
        <v>223</v>
      </c>
      <c r="B20" t="s">
        <v>222</v>
      </c>
      <c r="C20" s="5">
        <f>SUM(1,1,5)</f>
        <v>7</v>
      </c>
      <c r="D20" s="34">
        <f t="shared" si="0"/>
        <v>5.18518518518519</v>
      </c>
    </row>
    <row r="21" spans="1:4">
      <c r="A21" t="s">
        <v>224</v>
      </c>
      <c r="B21" t="s">
        <v>221</v>
      </c>
      <c r="C21" s="5">
        <f>SUM(5,5,5,3,2,6,5,5,6,6,5,5,5,3,5,6,6,6,6,6,4,3,5,4)</f>
        <v>117</v>
      </c>
      <c r="D21" s="34">
        <f t="shared" si="0"/>
        <v>86.6666666666667</v>
      </c>
    </row>
    <row r="22" spans="1:4">
      <c r="A22" t="s">
        <v>224</v>
      </c>
      <c r="B22" t="s">
        <v>222</v>
      </c>
      <c r="C22" s="5">
        <f>SUM(2,3,1,1,2,1,2,5,1)</f>
        <v>18</v>
      </c>
      <c r="D22" s="34">
        <f t="shared" si="0"/>
        <v>13.3333333333333</v>
      </c>
    </row>
    <row r="23" spans="1:4">
      <c r="A23" t="s">
        <v>225</v>
      </c>
      <c r="B23" t="s">
        <v>221</v>
      </c>
      <c r="C23" s="5">
        <f>SUM(4,5,5,5,3,6,6,4,6,6,4,5,5,2,2,6,6,6,6,6,3,4,5,4)</f>
        <v>114</v>
      </c>
      <c r="D23" s="34">
        <f t="shared" si="0"/>
        <v>84.4444444444444</v>
      </c>
    </row>
    <row r="24" spans="1:4">
      <c r="A24" t="s">
        <v>225</v>
      </c>
      <c r="B24" t="s">
        <v>222</v>
      </c>
      <c r="C24" s="5">
        <f>SUM(1,2,2,1,3,3,2,1,5,1)</f>
        <v>21</v>
      </c>
      <c r="D24" s="34">
        <f t="shared" si="0"/>
        <v>15.5555555555556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abSelected="1" workbookViewId="0">
      <selection activeCell="A1" sqref="A1:P23"/>
    </sheetView>
  </sheetViews>
  <sheetFormatPr defaultColWidth="8.8" defaultRowHeight="15"/>
  <cols>
    <col min="1" max="1" width="19.4" style="20" customWidth="1"/>
    <col min="2" max="2" width="7.6" style="20" customWidth="1"/>
    <col min="3" max="3" width="7.3" style="21" customWidth="1"/>
    <col min="4" max="4" width="11.5" style="21" customWidth="1"/>
    <col min="5" max="5" width="13.8" style="21" customWidth="1"/>
    <col min="6" max="6" width="14.3" style="21" customWidth="1"/>
    <col min="7" max="7" width="9.7" style="21" customWidth="1"/>
    <col min="8" max="8" width="8.3" style="21" customWidth="1"/>
    <col min="9" max="10" width="6.2" style="21" customWidth="1"/>
    <col min="11" max="11" width="8.2" style="21" customWidth="1"/>
    <col min="12" max="12" width="10.9" style="21" customWidth="1"/>
    <col min="13" max="13" width="13.6" style="21" customWidth="1"/>
    <col min="14" max="14" width="5.8" style="21" customWidth="1"/>
    <col min="15" max="15" width="11.4" style="21" customWidth="1"/>
    <col min="16" max="16" width="8.4" style="21" customWidth="1"/>
    <col min="18" max="18" width="13.8" customWidth="1"/>
    <col min="19" max="19" width="13.6" customWidth="1"/>
    <col min="20" max="20" width="14.3" customWidth="1"/>
    <col min="21" max="21" width="11.5" customWidth="1"/>
  </cols>
  <sheetData>
    <row r="1" ht="81.15" spans="1:16">
      <c r="A1" s="22" t="s">
        <v>0</v>
      </c>
      <c r="B1" s="23" t="s">
        <v>226</v>
      </c>
      <c r="C1" s="24" t="s">
        <v>227</v>
      </c>
      <c r="D1" s="24" t="s">
        <v>228</v>
      </c>
      <c r="E1" s="24" t="s">
        <v>229</v>
      </c>
      <c r="F1" s="24" t="s">
        <v>230</v>
      </c>
      <c r="G1" s="24" t="s">
        <v>231</v>
      </c>
      <c r="H1" s="24" t="s">
        <v>232</v>
      </c>
      <c r="I1" s="24" t="s">
        <v>233</v>
      </c>
      <c r="J1" s="24" t="s">
        <v>234</v>
      </c>
      <c r="K1" s="24" t="s">
        <v>235</v>
      </c>
      <c r="L1" s="24" t="s">
        <v>236</v>
      </c>
      <c r="M1" s="24" t="s">
        <v>237</v>
      </c>
      <c r="N1" s="27" t="s">
        <v>238</v>
      </c>
      <c r="O1" s="24" t="s">
        <v>239</v>
      </c>
      <c r="P1" s="24" t="s">
        <v>240</v>
      </c>
    </row>
    <row r="2" spans="1:16">
      <c r="A2" s="25" t="s">
        <v>241</v>
      </c>
      <c r="B2" s="4" t="s">
        <v>242</v>
      </c>
      <c r="C2" s="5"/>
      <c r="D2" s="5"/>
      <c r="E2" s="5" t="s">
        <v>243</v>
      </c>
      <c r="F2" s="5" t="s">
        <v>243</v>
      </c>
      <c r="G2" s="5"/>
      <c r="H2" s="5" t="s">
        <v>243</v>
      </c>
      <c r="I2" s="5"/>
      <c r="J2" s="5"/>
      <c r="K2" s="10"/>
      <c r="L2" s="10"/>
      <c r="M2" s="5" t="s">
        <v>243</v>
      </c>
      <c r="N2" s="5"/>
      <c r="O2" s="5"/>
      <c r="P2" s="5" t="s">
        <v>243</v>
      </c>
    </row>
    <row r="3" spans="1:16">
      <c r="A3" s="25"/>
      <c r="B3" s="4" t="s">
        <v>244</v>
      </c>
      <c r="C3" s="5"/>
      <c r="D3" s="5"/>
      <c r="E3" s="26">
        <f>139+9</f>
        <v>148</v>
      </c>
      <c r="F3" s="26">
        <v>1</v>
      </c>
      <c r="G3" s="26"/>
      <c r="H3" s="26">
        <v>1</v>
      </c>
      <c r="I3" s="26"/>
      <c r="J3" s="26">
        <v>2</v>
      </c>
      <c r="K3" s="5"/>
      <c r="L3" s="5"/>
      <c r="M3" s="5"/>
      <c r="N3" s="5"/>
      <c r="O3" s="5"/>
      <c r="P3" s="5"/>
    </row>
    <row r="4" spans="1:16">
      <c r="A4" s="25" t="s">
        <v>11</v>
      </c>
      <c r="B4" s="4" t="s">
        <v>242</v>
      </c>
      <c r="C4" s="5" t="s">
        <v>243</v>
      </c>
      <c r="D4" s="5"/>
      <c r="E4" s="5" t="s">
        <v>243</v>
      </c>
      <c r="F4" s="5" t="s">
        <v>243</v>
      </c>
      <c r="G4" s="5" t="s">
        <v>243</v>
      </c>
      <c r="H4" s="5" t="s">
        <v>243</v>
      </c>
      <c r="I4" s="5" t="s">
        <v>243</v>
      </c>
      <c r="J4" s="5"/>
      <c r="K4" s="10"/>
      <c r="L4" s="10" t="s">
        <v>243</v>
      </c>
      <c r="M4" s="5" t="s">
        <v>243</v>
      </c>
      <c r="N4" s="5"/>
      <c r="O4" s="5"/>
      <c r="P4" s="5"/>
    </row>
    <row r="5" spans="1:16">
      <c r="A5" s="25"/>
      <c r="B5" s="4" t="s">
        <v>244</v>
      </c>
      <c r="C5" s="5"/>
      <c r="D5" s="5"/>
      <c r="E5" s="5">
        <v>324</v>
      </c>
      <c r="F5" s="5">
        <v>2</v>
      </c>
      <c r="G5" s="5"/>
      <c r="H5" s="5"/>
      <c r="I5" s="5">
        <v>4</v>
      </c>
      <c r="J5" s="5"/>
      <c r="K5" s="10"/>
      <c r="L5" s="10"/>
      <c r="M5" s="5"/>
      <c r="N5" s="5"/>
      <c r="O5" s="5"/>
      <c r="P5" s="5"/>
    </row>
    <row r="6" spans="1:16">
      <c r="A6" s="25" t="s">
        <v>245</v>
      </c>
      <c r="B6" s="4" t="s">
        <v>242</v>
      </c>
      <c r="C6" s="5" t="s">
        <v>243</v>
      </c>
      <c r="D6" s="5"/>
      <c r="E6" s="5" t="s">
        <v>243</v>
      </c>
      <c r="F6" s="5" t="s">
        <v>243</v>
      </c>
      <c r="G6" s="5"/>
      <c r="H6" s="5" t="s">
        <v>243</v>
      </c>
      <c r="I6" s="5"/>
      <c r="J6" s="5"/>
      <c r="K6" s="5"/>
      <c r="L6" s="5"/>
      <c r="M6" s="5" t="s">
        <v>243</v>
      </c>
      <c r="N6" s="5"/>
      <c r="O6" s="5"/>
      <c r="P6" s="5"/>
    </row>
    <row r="7" spans="1:16">
      <c r="A7" s="25"/>
      <c r="B7" s="4" t="s">
        <v>244</v>
      </c>
      <c r="C7" s="5">
        <v>16</v>
      </c>
      <c r="D7" s="5"/>
      <c r="E7" s="5" t="s">
        <v>246</v>
      </c>
      <c r="F7" s="5">
        <v>20</v>
      </c>
      <c r="G7" s="5"/>
      <c r="H7" s="5">
        <v>36</v>
      </c>
      <c r="I7" s="5">
        <v>4</v>
      </c>
      <c r="J7" s="5">
        <v>4</v>
      </c>
      <c r="K7" s="10"/>
      <c r="L7" s="10"/>
      <c r="M7" s="5"/>
      <c r="N7" s="5"/>
      <c r="O7" s="5"/>
      <c r="P7" s="5"/>
    </row>
    <row r="8" spans="1:16">
      <c r="A8" s="25" t="s">
        <v>247</v>
      </c>
      <c r="B8" s="4" t="s">
        <v>242</v>
      </c>
      <c r="C8" s="5" t="s">
        <v>243</v>
      </c>
      <c r="D8" s="5"/>
      <c r="E8" s="5" t="s">
        <v>243</v>
      </c>
      <c r="F8" s="5" t="s">
        <v>243</v>
      </c>
      <c r="G8" s="5" t="s">
        <v>243</v>
      </c>
      <c r="H8" s="5" t="s">
        <v>243</v>
      </c>
      <c r="I8" s="5"/>
      <c r="J8" s="5"/>
      <c r="K8" s="5"/>
      <c r="L8" s="5" t="s">
        <v>243</v>
      </c>
      <c r="M8" s="5" t="s">
        <v>243</v>
      </c>
      <c r="N8" s="5"/>
      <c r="O8" s="5"/>
      <c r="P8" s="5"/>
    </row>
    <row r="9" spans="1:16">
      <c r="A9" s="25"/>
      <c r="B9" s="4" t="s">
        <v>244</v>
      </c>
      <c r="C9" s="5">
        <v>27</v>
      </c>
      <c r="D9" s="5"/>
      <c r="E9" s="5">
        <v>760</v>
      </c>
      <c r="F9" s="5"/>
      <c r="G9" s="5"/>
      <c r="H9" s="5">
        <v>3</v>
      </c>
      <c r="I9" s="5"/>
      <c r="J9" s="5"/>
      <c r="K9" s="10"/>
      <c r="L9" s="10"/>
      <c r="M9" s="5"/>
      <c r="N9" s="5"/>
      <c r="O9" s="5"/>
      <c r="P9" s="5"/>
    </row>
    <row r="10" spans="1:16">
      <c r="A10" s="25" t="s">
        <v>248</v>
      </c>
      <c r="B10" s="4" t="s">
        <v>242</v>
      </c>
      <c r="C10" s="5" t="s">
        <v>243</v>
      </c>
      <c r="D10" s="5" t="s">
        <v>243</v>
      </c>
      <c r="E10" s="5" t="s">
        <v>243</v>
      </c>
      <c r="F10" s="5" t="s">
        <v>243</v>
      </c>
      <c r="G10" s="5" t="s">
        <v>243</v>
      </c>
      <c r="H10" s="5" t="s">
        <v>243</v>
      </c>
      <c r="I10" s="5"/>
      <c r="J10" s="5"/>
      <c r="K10" s="5"/>
      <c r="L10" s="5"/>
      <c r="M10" s="5" t="s">
        <v>243</v>
      </c>
      <c r="N10" s="5"/>
      <c r="O10" s="5"/>
      <c r="P10" s="5"/>
    </row>
    <row r="11" spans="1:16">
      <c r="A11" s="25"/>
      <c r="B11" s="4" t="s">
        <v>244</v>
      </c>
      <c r="C11" s="5">
        <v>2</v>
      </c>
      <c r="D11" s="5"/>
      <c r="E11" s="5" t="s">
        <v>249</v>
      </c>
      <c r="F11" s="5" t="s">
        <v>250</v>
      </c>
      <c r="G11" s="5"/>
      <c r="H11" s="5"/>
      <c r="I11" s="5"/>
      <c r="J11" s="5">
        <v>4</v>
      </c>
      <c r="K11" s="10"/>
      <c r="L11" s="10"/>
      <c r="M11" s="5"/>
      <c r="N11" s="5"/>
      <c r="O11" s="5"/>
      <c r="P11" s="5"/>
    </row>
    <row r="12" spans="1:16">
      <c r="A12" s="25" t="s">
        <v>251</v>
      </c>
      <c r="B12" s="4" t="s">
        <v>242</v>
      </c>
      <c r="C12" s="5" t="s">
        <v>243</v>
      </c>
      <c r="D12" s="5"/>
      <c r="E12" s="5" t="s">
        <v>243</v>
      </c>
      <c r="F12" s="5" t="s">
        <v>243</v>
      </c>
      <c r="G12" s="5" t="s">
        <v>243</v>
      </c>
      <c r="H12" s="5" t="s">
        <v>243</v>
      </c>
      <c r="I12" s="5" t="s">
        <v>243</v>
      </c>
      <c r="J12" s="5"/>
      <c r="K12" s="5"/>
      <c r="L12" s="5"/>
      <c r="M12" s="5"/>
      <c r="N12" s="5"/>
      <c r="O12" s="5"/>
      <c r="P12" s="5"/>
    </row>
    <row r="13" spans="1:16">
      <c r="A13" s="25"/>
      <c r="B13" s="4" t="s">
        <v>244</v>
      </c>
      <c r="C13" s="5">
        <v>3</v>
      </c>
      <c r="D13" s="5"/>
      <c r="E13" s="5">
        <v>438</v>
      </c>
      <c r="F13" s="5">
        <v>11</v>
      </c>
      <c r="G13" s="5"/>
      <c r="H13" s="5">
        <v>25</v>
      </c>
      <c r="I13" s="5">
        <v>1</v>
      </c>
      <c r="J13" s="5"/>
      <c r="K13" s="10"/>
      <c r="L13" s="10"/>
      <c r="M13" s="5"/>
      <c r="N13" s="5"/>
      <c r="O13" s="5"/>
      <c r="P13" s="5"/>
    </row>
    <row r="14" spans="1:16">
      <c r="A14" s="25" t="s">
        <v>252</v>
      </c>
      <c r="B14" s="4" t="s">
        <v>242</v>
      </c>
      <c r="C14" s="5" t="s">
        <v>243</v>
      </c>
      <c r="D14" s="5"/>
      <c r="E14" s="5"/>
      <c r="F14" s="5"/>
      <c r="G14" s="5" t="s">
        <v>243</v>
      </c>
      <c r="H14" s="5" t="s">
        <v>243</v>
      </c>
      <c r="I14" s="5"/>
      <c r="J14" s="5"/>
      <c r="K14" s="5" t="s">
        <v>243</v>
      </c>
      <c r="L14" s="5"/>
      <c r="M14" s="5"/>
      <c r="N14" s="5" t="s">
        <v>243</v>
      </c>
      <c r="O14" s="5" t="s">
        <v>243</v>
      </c>
      <c r="P14" s="5" t="s">
        <v>243</v>
      </c>
    </row>
    <row r="15" spans="1:16">
      <c r="A15" s="25"/>
      <c r="B15" s="4" t="s">
        <v>244</v>
      </c>
      <c r="C15" s="5">
        <v>5</v>
      </c>
      <c r="D15" s="5"/>
      <c r="E15" s="5">
        <v>11</v>
      </c>
      <c r="F15" s="5"/>
      <c r="G15" s="5">
        <v>158</v>
      </c>
      <c r="H15" s="5"/>
      <c r="I15" s="5"/>
      <c r="J15" s="5"/>
      <c r="K15" s="5"/>
      <c r="L15" s="5"/>
      <c r="M15" s="5"/>
      <c r="N15" s="5"/>
      <c r="O15" s="5">
        <v>6</v>
      </c>
      <c r="P15" s="5"/>
    </row>
    <row r="16" spans="1:16">
      <c r="A16" s="25" t="s">
        <v>253</v>
      </c>
      <c r="B16" s="4" t="s">
        <v>242</v>
      </c>
      <c r="C16" s="5" t="s">
        <v>243</v>
      </c>
      <c r="D16" s="5"/>
      <c r="E16" s="5"/>
      <c r="F16" s="5"/>
      <c r="G16" s="5" t="s">
        <v>243</v>
      </c>
      <c r="H16" s="5" t="s">
        <v>243</v>
      </c>
      <c r="I16" s="5"/>
      <c r="J16" s="5"/>
      <c r="K16" s="5" t="s">
        <v>243</v>
      </c>
      <c r="L16" s="5"/>
      <c r="M16" s="5"/>
      <c r="N16" s="5" t="s">
        <v>243</v>
      </c>
      <c r="O16" s="5" t="s">
        <v>243</v>
      </c>
      <c r="P16" s="5"/>
    </row>
    <row r="17" spans="1:16">
      <c r="A17" s="25"/>
      <c r="B17" s="4" t="s">
        <v>244</v>
      </c>
      <c r="C17" s="5">
        <v>17</v>
      </c>
      <c r="D17" s="5"/>
      <c r="E17" s="5">
        <v>41</v>
      </c>
      <c r="F17" s="5"/>
      <c r="G17" s="5">
        <v>1</v>
      </c>
      <c r="H17" s="5"/>
      <c r="I17" s="5"/>
      <c r="J17" s="5"/>
      <c r="K17" s="5"/>
      <c r="L17" s="5"/>
      <c r="M17" s="5"/>
      <c r="N17" s="5"/>
      <c r="O17" s="5">
        <v>4</v>
      </c>
      <c r="P17" s="5"/>
    </row>
    <row r="18" spans="1:16">
      <c r="A18" s="25" t="s">
        <v>254</v>
      </c>
      <c r="B18" s="4" t="s">
        <v>242</v>
      </c>
      <c r="C18" s="5" t="s">
        <v>243</v>
      </c>
      <c r="D18" s="5"/>
      <c r="E18" s="5"/>
      <c r="F18" s="5"/>
      <c r="G18" s="5" t="s">
        <v>243</v>
      </c>
      <c r="H18" s="5" t="s">
        <v>243</v>
      </c>
      <c r="I18" s="5"/>
      <c r="J18" s="5"/>
      <c r="K18" s="5" t="s">
        <v>243</v>
      </c>
      <c r="L18" s="5"/>
      <c r="M18" s="5"/>
      <c r="N18" s="5" t="s">
        <v>243</v>
      </c>
      <c r="O18" s="5" t="s">
        <v>243</v>
      </c>
      <c r="P18" s="5"/>
    </row>
    <row r="19" spans="1:16">
      <c r="A19" s="25"/>
      <c r="B19" s="4" t="s">
        <v>244</v>
      </c>
      <c r="C19" s="5">
        <v>147</v>
      </c>
      <c r="D19" s="5"/>
      <c r="E19" s="5">
        <v>316</v>
      </c>
      <c r="F19" s="5"/>
      <c r="G19" s="5">
        <v>223</v>
      </c>
      <c r="H19" s="5">
        <v>2</v>
      </c>
      <c r="I19" s="5"/>
      <c r="J19" s="5"/>
      <c r="K19" s="5"/>
      <c r="L19" s="5"/>
      <c r="M19" s="5"/>
      <c r="N19" s="5"/>
      <c r="O19" s="5"/>
      <c r="P19" s="5"/>
    </row>
    <row r="20" spans="1:16">
      <c r="A20" s="25" t="s">
        <v>255</v>
      </c>
      <c r="B20" s="4" t="s">
        <v>242</v>
      </c>
      <c r="C20" s="5" t="s">
        <v>243</v>
      </c>
      <c r="D20" s="5"/>
      <c r="E20" s="5"/>
      <c r="F20" s="5"/>
      <c r="G20" s="5" t="s">
        <v>243</v>
      </c>
      <c r="H20" s="5" t="s">
        <v>243</v>
      </c>
      <c r="I20" s="5"/>
      <c r="J20" s="5"/>
      <c r="K20" s="5"/>
      <c r="L20" s="5"/>
      <c r="M20" s="5"/>
      <c r="N20" s="5"/>
      <c r="O20" s="5" t="s">
        <v>243</v>
      </c>
      <c r="P20" s="5"/>
    </row>
    <row r="21" spans="1:16">
      <c r="A21" s="25"/>
      <c r="B21" s="4" t="s">
        <v>244</v>
      </c>
      <c r="C21" s="5">
        <v>6</v>
      </c>
      <c r="D21" s="5"/>
      <c r="E21" s="5">
        <v>6</v>
      </c>
      <c r="F21" s="5"/>
      <c r="G21" s="5">
        <v>166</v>
      </c>
      <c r="H21" s="5"/>
      <c r="I21" s="5"/>
      <c r="J21" s="5"/>
      <c r="K21" s="5"/>
      <c r="L21" s="5"/>
      <c r="M21" s="5"/>
      <c r="N21" s="5"/>
      <c r="O21" s="5">
        <v>3</v>
      </c>
      <c r="P21" s="5"/>
    </row>
    <row r="22" spans="1:16">
      <c r="A22" s="25" t="s">
        <v>256</v>
      </c>
      <c r="B22" s="4" t="s">
        <v>242</v>
      </c>
      <c r="C22" s="5" t="s">
        <v>243</v>
      </c>
      <c r="D22" s="5"/>
      <c r="E22" s="5"/>
      <c r="F22" s="5"/>
      <c r="G22" s="5" t="s">
        <v>243</v>
      </c>
      <c r="H22" s="5" t="s">
        <v>243</v>
      </c>
      <c r="I22" s="5"/>
      <c r="J22" s="5"/>
      <c r="K22" s="5" t="s">
        <v>243</v>
      </c>
      <c r="L22" s="5"/>
      <c r="M22" s="5"/>
      <c r="N22" s="5"/>
      <c r="O22" s="5" t="s">
        <v>243</v>
      </c>
      <c r="P22" s="5"/>
    </row>
    <row r="23" spans="1:16">
      <c r="A23" s="25"/>
      <c r="B23" s="4" t="s">
        <v>244</v>
      </c>
      <c r="C23" s="5">
        <v>2</v>
      </c>
      <c r="D23" s="5"/>
      <c r="E23" s="5">
        <v>114</v>
      </c>
      <c r="F23" s="5"/>
      <c r="G23" s="5">
        <v>385</v>
      </c>
      <c r="H23" s="5"/>
      <c r="I23" s="5"/>
      <c r="J23" s="5"/>
      <c r="K23" s="5"/>
      <c r="L23" s="5"/>
      <c r="M23" s="5"/>
      <c r="N23" s="5"/>
      <c r="O23" s="5">
        <v>21</v>
      </c>
      <c r="P23" s="5"/>
    </row>
  </sheetData>
  <mergeCells count="1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0"/>
  <sheetViews>
    <sheetView workbookViewId="0">
      <selection activeCell="F1" sqref="F1:I28"/>
    </sheetView>
  </sheetViews>
  <sheetFormatPr defaultColWidth="8.8" defaultRowHeight="15"/>
  <cols>
    <col min="1" max="1" width="17" customWidth="1"/>
    <col min="2" max="2" width="11.4" style="4" customWidth="1"/>
    <col min="3" max="3" width="9.6" style="5" customWidth="1"/>
    <col min="4" max="4" width="9.1" style="5" customWidth="1"/>
    <col min="5" max="5" width="9.6" style="5" customWidth="1"/>
    <col min="6" max="6" width="10.7" style="5" customWidth="1"/>
    <col min="7" max="7" width="13.3" style="5" customWidth="1"/>
    <col min="8" max="8" width="8.3" style="5" customWidth="1"/>
    <col min="9" max="9" width="9.3" style="5" customWidth="1"/>
    <col min="11" max="11" width="17" customWidth="1"/>
    <col min="12" max="16" width="12.5"/>
  </cols>
  <sheetData>
    <row r="1" spans="1:16">
      <c r="A1" s="6" t="s">
        <v>0</v>
      </c>
      <c r="B1" s="7" t="s">
        <v>257</v>
      </c>
      <c r="C1" s="8" t="s">
        <v>6</v>
      </c>
      <c r="D1" s="8" t="s">
        <v>8</v>
      </c>
      <c r="E1" s="8" t="s">
        <v>10</v>
      </c>
      <c r="F1" s="12" t="s">
        <v>258</v>
      </c>
      <c r="G1" s="12" t="s">
        <v>259</v>
      </c>
      <c r="H1" s="8" t="s">
        <v>260</v>
      </c>
      <c r="I1" s="8" t="s">
        <v>261</v>
      </c>
      <c r="K1" s="6"/>
      <c r="L1" s="6"/>
      <c r="M1" s="6"/>
      <c r="N1" s="8"/>
      <c r="O1" s="8"/>
      <c r="P1" s="8"/>
    </row>
    <row r="2" spans="1:16">
      <c r="A2" t="s">
        <v>11</v>
      </c>
      <c r="B2" s="9">
        <v>1.2</v>
      </c>
      <c r="C2" s="10">
        <v>0.00191651668920766</v>
      </c>
      <c r="D2" s="10">
        <v>0.000306570174938743</v>
      </c>
      <c r="E2" s="10">
        <v>0.000148118494795837</v>
      </c>
      <c r="F2" s="13">
        <v>0</v>
      </c>
      <c r="G2" s="13">
        <v>0</v>
      </c>
      <c r="H2" s="10">
        <v>0</v>
      </c>
      <c r="I2" s="10">
        <v>0</v>
      </c>
      <c r="N2" s="5"/>
      <c r="O2" s="5"/>
      <c r="P2" s="5"/>
    </row>
    <row r="3" spans="1:16">
      <c r="A3" t="s">
        <v>11</v>
      </c>
      <c r="B3" s="4">
        <v>5</v>
      </c>
      <c r="C3" s="10">
        <v>0.00195858137297708</v>
      </c>
      <c r="D3" s="10">
        <v>0.000234771212034874</v>
      </c>
      <c r="E3" s="10">
        <v>6.16493194555644e-5</v>
      </c>
      <c r="H3" s="10"/>
      <c r="I3" s="10"/>
      <c r="N3" s="5"/>
      <c r="O3" s="5"/>
      <c r="P3" s="5"/>
    </row>
    <row r="4" spans="1:21">
      <c r="A4" t="s">
        <v>11</v>
      </c>
      <c r="B4" s="4" t="s">
        <v>30</v>
      </c>
      <c r="C4" s="10">
        <v>0.000470698486736313</v>
      </c>
      <c r="D4" s="10">
        <v>0.000121944270328794</v>
      </c>
      <c r="E4" s="10">
        <v>0.000117694155324259</v>
      </c>
      <c r="H4" s="10"/>
      <c r="I4" s="10"/>
      <c r="K4" s="17"/>
      <c r="L4" s="17"/>
      <c r="M4" s="17"/>
      <c r="N4" s="17"/>
      <c r="O4" s="19"/>
      <c r="P4" s="16"/>
      <c r="Q4" s="16"/>
      <c r="R4" s="16"/>
      <c r="S4" s="16"/>
      <c r="T4" s="16"/>
      <c r="U4" s="16"/>
    </row>
    <row r="5" spans="1:21">
      <c r="A5" t="s">
        <v>36</v>
      </c>
      <c r="B5" s="4">
        <v>1.2</v>
      </c>
      <c r="C5" s="10">
        <v>0.00368358838375771</v>
      </c>
      <c r="D5" s="10">
        <v>0.00063251467320075</v>
      </c>
      <c r="E5" s="10">
        <v>0.00151080864691753</v>
      </c>
      <c r="F5" s="13">
        <v>4</v>
      </c>
      <c r="G5" s="13">
        <v>24</v>
      </c>
      <c r="H5" s="14">
        <v>0.774193548</v>
      </c>
      <c r="I5" s="14">
        <v>8.322580645</v>
      </c>
      <c r="K5" s="17"/>
      <c r="L5" s="17"/>
      <c r="M5" s="17"/>
      <c r="N5" s="17"/>
      <c r="O5" s="19"/>
      <c r="P5" s="16"/>
      <c r="Q5" s="16"/>
      <c r="R5" s="16"/>
      <c r="S5" s="16"/>
      <c r="T5" s="16"/>
      <c r="U5" s="16"/>
    </row>
    <row r="6" spans="1:21">
      <c r="A6" t="s">
        <v>36</v>
      </c>
      <c r="B6" s="4">
        <v>5</v>
      </c>
      <c r="C6" s="10">
        <v>0.00457191641019634</v>
      </c>
      <c r="D6" s="10">
        <v>0.000472961422303266</v>
      </c>
      <c r="E6" s="10">
        <v>0.000479583666933547</v>
      </c>
      <c r="H6" s="10"/>
      <c r="I6" s="10"/>
      <c r="K6" s="17"/>
      <c r="L6" s="17"/>
      <c r="M6" s="17"/>
      <c r="N6" s="17"/>
      <c r="O6" s="19"/>
      <c r="P6" s="16"/>
      <c r="Q6" s="16"/>
      <c r="R6" s="16"/>
      <c r="S6" s="16"/>
      <c r="T6" s="16"/>
      <c r="U6" s="16"/>
    </row>
    <row r="7" spans="1:21">
      <c r="A7" t="s">
        <v>36</v>
      </c>
      <c r="B7" s="4" t="s">
        <v>30</v>
      </c>
      <c r="C7" s="10">
        <v>0.00279206557121001</v>
      </c>
      <c r="D7" s="10">
        <v>0.00018348623853211</v>
      </c>
      <c r="E7" s="10">
        <v>0.00088951160928743</v>
      </c>
      <c r="H7" s="10"/>
      <c r="I7" s="10"/>
      <c r="K7" s="17"/>
      <c r="L7" s="17"/>
      <c r="M7" s="17"/>
      <c r="N7" s="17"/>
      <c r="O7" s="19"/>
      <c r="P7" s="16"/>
      <c r="Q7" s="16"/>
      <c r="R7" s="16"/>
      <c r="S7" s="16"/>
      <c r="T7" s="16"/>
      <c r="U7" s="16"/>
    </row>
    <row r="8" spans="1:21">
      <c r="A8" t="s">
        <v>55</v>
      </c>
      <c r="B8" s="4">
        <v>1.2</v>
      </c>
      <c r="C8" s="10">
        <v>0.00381208978058919</v>
      </c>
      <c r="D8" s="10">
        <v>0.000405721123710753</v>
      </c>
      <c r="E8" s="10">
        <v>0.00010808646917534</v>
      </c>
      <c r="F8" s="13">
        <v>27</v>
      </c>
      <c r="G8" s="13">
        <v>231.5</v>
      </c>
      <c r="H8" s="14">
        <v>1.372881356</v>
      </c>
      <c r="I8" s="14">
        <v>11.77118644</v>
      </c>
      <c r="K8" s="17"/>
      <c r="L8" s="17"/>
      <c r="M8" s="17"/>
      <c r="N8" s="17"/>
      <c r="O8" s="19"/>
      <c r="P8" s="16"/>
      <c r="Q8" s="16"/>
      <c r="R8" s="16"/>
      <c r="S8" s="16"/>
      <c r="T8" s="16"/>
      <c r="U8" s="16"/>
    </row>
    <row r="9" spans="1:21">
      <c r="A9" t="s">
        <v>55</v>
      </c>
      <c r="B9" s="4">
        <v>5</v>
      </c>
      <c r="C9" s="10">
        <v>0.00372370069823825</v>
      </c>
      <c r="D9" s="10">
        <v>0.00038178813607613</v>
      </c>
      <c r="E9" s="10">
        <v>0.0001048839071257</v>
      </c>
      <c r="H9" s="10"/>
      <c r="I9" s="10"/>
      <c r="K9" s="17"/>
      <c r="L9" s="17"/>
      <c r="M9" s="17"/>
      <c r="N9" s="17"/>
      <c r="O9" s="19"/>
      <c r="P9" s="16"/>
      <c r="Q9" s="16"/>
      <c r="R9" s="16"/>
      <c r="S9" s="16"/>
      <c r="T9" s="16"/>
      <c r="U9" s="16"/>
    </row>
    <row r="10" spans="1:21">
      <c r="A10" t="s">
        <v>55</v>
      </c>
      <c r="B10" s="4" t="s">
        <v>30</v>
      </c>
      <c r="C10" s="10">
        <v>0.0119566645013116</v>
      </c>
      <c r="D10" s="10">
        <v>0.00141660493475412</v>
      </c>
      <c r="E10" s="10">
        <v>0.000616493194555645</v>
      </c>
      <c r="H10" s="10"/>
      <c r="I10" s="10"/>
      <c r="K10" s="17"/>
      <c r="L10" s="17"/>
      <c r="M10" s="17"/>
      <c r="N10" s="16"/>
      <c r="O10" s="16"/>
      <c r="P10" s="16"/>
      <c r="Q10" s="17"/>
      <c r="R10" s="17"/>
      <c r="S10" s="17"/>
      <c r="T10" s="17"/>
      <c r="U10" s="17"/>
    </row>
    <row r="11" spans="1:21">
      <c r="A11" t="s">
        <v>72</v>
      </c>
      <c r="B11" s="4">
        <v>1.2</v>
      </c>
      <c r="C11" s="10">
        <v>0.000631147744658494</v>
      </c>
      <c r="D11" s="10">
        <v>0.000147016924041256</v>
      </c>
      <c r="E11" s="10">
        <v>0.00010968775020016</v>
      </c>
      <c r="F11" s="13">
        <v>16</v>
      </c>
      <c r="G11" s="13">
        <v>172</v>
      </c>
      <c r="H11" s="14">
        <v>0.228571429</v>
      </c>
      <c r="I11" s="14">
        <v>1.371428571</v>
      </c>
      <c r="K11" s="17"/>
      <c r="L11" s="17"/>
      <c r="M11" s="17"/>
      <c r="N11" s="16"/>
      <c r="O11" s="16"/>
      <c r="P11" s="16"/>
      <c r="Q11" s="17"/>
      <c r="R11" s="17"/>
      <c r="S11" s="17"/>
      <c r="T11" s="17"/>
      <c r="U11" s="17"/>
    </row>
    <row r="12" spans="1:21">
      <c r="A12" t="s">
        <v>72</v>
      </c>
      <c r="B12" s="4">
        <v>5</v>
      </c>
      <c r="C12" s="10">
        <v>0.000280786201363819</v>
      </c>
      <c r="D12" s="10">
        <v>0.000172089577753718</v>
      </c>
      <c r="E12" s="10">
        <v>0.000297838270616492</v>
      </c>
      <c r="H12" s="10"/>
      <c r="I12" s="10"/>
      <c r="K12" s="17"/>
      <c r="L12" s="17"/>
      <c r="M12" s="17"/>
      <c r="N12" s="16"/>
      <c r="O12" s="16"/>
      <c r="P12" s="16"/>
      <c r="Q12" s="17"/>
      <c r="R12" s="17"/>
      <c r="S12" s="17"/>
      <c r="T12" s="17"/>
      <c r="U12" s="17"/>
    </row>
    <row r="13" spans="1:21">
      <c r="A13" t="s">
        <v>72</v>
      </c>
      <c r="B13" s="4" t="s">
        <v>30</v>
      </c>
      <c r="C13" s="10">
        <v>0</v>
      </c>
      <c r="D13" s="10">
        <v>0</v>
      </c>
      <c r="E13" s="10">
        <v>0</v>
      </c>
      <c r="H13" s="10"/>
      <c r="I13" s="10"/>
      <c r="K13" s="17"/>
      <c r="L13" s="17"/>
      <c r="M13" s="17"/>
      <c r="N13" s="16"/>
      <c r="O13" s="16"/>
      <c r="P13" s="16"/>
      <c r="Q13" s="17"/>
      <c r="R13" s="17"/>
      <c r="S13" s="17"/>
      <c r="T13" s="17"/>
      <c r="U13" s="17"/>
    </row>
    <row r="14" spans="1:21">
      <c r="A14" t="s">
        <v>91</v>
      </c>
      <c r="B14" s="4">
        <v>1.2</v>
      </c>
      <c r="C14" s="10">
        <v>0.00090447944510115</v>
      </c>
      <c r="D14" s="10">
        <v>1.36759929340703e-5</v>
      </c>
      <c r="E14" s="10">
        <v>1.60128102481985e-5</v>
      </c>
      <c r="F14" s="13">
        <v>2</v>
      </c>
      <c r="G14" s="13">
        <v>16</v>
      </c>
      <c r="H14" s="14">
        <v>0.109589041</v>
      </c>
      <c r="I14" s="14">
        <v>0.876712329</v>
      </c>
      <c r="K14" s="17"/>
      <c r="L14" s="17"/>
      <c r="M14" s="17"/>
      <c r="N14" s="16"/>
      <c r="O14" s="16"/>
      <c r="P14" s="16"/>
      <c r="Q14" s="17"/>
      <c r="R14" s="17"/>
      <c r="S14" s="17"/>
      <c r="T14" s="17"/>
      <c r="U14" s="17"/>
    </row>
    <row r="15" spans="1:21">
      <c r="A15" t="s">
        <v>91</v>
      </c>
      <c r="B15" s="4">
        <v>5</v>
      </c>
      <c r="C15" s="10">
        <v>0.000674987309599622</v>
      </c>
      <c r="D15" s="10">
        <v>0.00012764260071799</v>
      </c>
      <c r="E15" s="10">
        <v>9.60768614891914e-6</v>
      </c>
      <c r="H15" s="10"/>
      <c r="I15" s="10"/>
      <c r="K15" s="17"/>
      <c r="L15" s="17"/>
      <c r="M15" s="17"/>
      <c r="N15" s="16"/>
      <c r="O15" s="16"/>
      <c r="P15" s="16"/>
      <c r="Q15" s="17"/>
      <c r="R15" s="17"/>
      <c r="S15" s="17"/>
      <c r="T15" s="17"/>
      <c r="U15" s="17"/>
    </row>
    <row r="16" spans="1:9">
      <c r="A16" t="s">
        <v>91</v>
      </c>
      <c r="B16" s="4" t="s">
        <v>30</v>
      </c>
      <c r="C16" s="10">
        <v>0.00249601539176952</v>
      </c>
      <c r="D16" s="10">
        <v>0.000139039261496381</v>
      </c>
      <c r="E16" s="10">
        <v>7.20576461168936e-5</v>
      </c>
      <c r="H16" s="10"/>
      <c r="I16" s="10"/>
    </row>
    <row r="17" spans="1:16">
      <c r="A17" t="s">
        <v>110</v>
      </c>
      <c r="B17" s="4">
        <v>1.2</v>
      </c>
      <c r="C17" s="10">
        <v>0</v>
      </c>
      <c r="D17" s="10">
        <v>0</v>
      </c>
      <c r="E17" s="10">
        <v>0</v>
      </c>
      <c r="H17" s="10">
        <v>0</v>
      </c>
      <c r="I17" s="10">
        <v>0</v>
      </c>
      <c r="N17" s="5"/>
      <c r="O17" s="5"/>
      <c r="P17" s="5"/>
    </row>
    <row r="18" spans="1:16">
      <c r="A18" t="s">
        <v>110</v>
      </c>
      <c r="B18" s="4">
        <v>5</v>
      </c>
      <c r="C18" s="10">
        <v>0</v>
      </c>
      <c r="D18" s="10">
        <v>0</v>
      </c>
      <c r="E18" s="10">
        <v>0</v>
      </c>
      <c r="H18" s="10"/>
      <c r="I18" s="10"/>
      <c r="N18" s="5"/>
      <c r="O18" s="5"/>
      <c r="P18" s="5"/>
    </row>
    <row r="19" spans="1:16">
      <c r="A19" t="s">
        <v>110</v>
      </c>
      <c r="B19" s="4" t="s">
        <v>30</v>
      </c>
      <c r="C19" s="10">
        <v>0</v>
      </c>
      <c r="D19" s="10">
        <v>0</v>
      </c>
      <c r="E19" s="10">
        <v>0</v>
      </c>
      <c r="H19" s="10"/>
      <c r="I19" s="10"/>
      <c r="N19" s="5"/>
      <c r="O19" s="5"/>
      <c r="P19" s="5"/>
    </row>
    <row r="20" spans="1:16">
      <c r="A20" t="s">
        <v>129</v>
      </c>
      <c r="B20" s="4">
        <v>1.2</v>
      </c>
      <c r="C20" s="10">
        <v>0.00960537505252951</v>
      </c>
      <c r="D20" s="10">
        <v>0.000582227191037544</v>
      </c>
      <c r="E20" s="10">
        <v>0.00108578976766904</v>
      </c>
      <c r="H20" s="14">
        <v>0.260869565</v>
      </c>
      <c r="I20" s="14">
        <v>2.556521739</v>
      </c>
      <c r="N20" s="5"/>
      <c r="O20" s="5"/>
      <c r="P20" s="5"/>
    </row>
    <row r="21" spans="1:16">
      <c r="A21" t="s">
        <v>129</v>
      </c>
      <c r="B21" s="4">
        <v>5</v>
      </c>
      <c r="C21" s="10">
        <v>0.00654873581702849</v>
      </c>
      <c r="D21" s="10">
        <v>0.000584014534678488</v>
      </c>
      <c r="E21" s="10">
        <v>0.000924488932122462</v>
      </c>
      <c r="H21" s="10"/>
      <c r="I21" s="10"/>
      <c r="N21" s="5"/>
      <c r="O21" s="5"/>
      <c r="P21" s="5"/>
    </row>
    <row r="22" spans="1:16">
      <c r="A22" t="s">
        <v>143</v>
      </c>
      <c r="B22" s="4">
        <v>1.2</v>
      </c>
      <c r="C22" s="10">
        <v>0.00428988355817624</v>
      </c>
      <c r="D22" s="10">
        <v>0.000523691686796624</v>
      </c>
      <c r="E22" s="10">
        <v>0.00178709774830634</v>
      </c>
      <c r="H22" s="14">
        <v>0.91561939</v>
      </c>
      <c r="I22" s="14">
        <v>7.324955117</v>
      </c>
      <c r="N22" s="5"/>
      <c r="O22" s="5"/>
      <c r="P22" s="5"/>
    </row>
    <row r="23" spans="1:16">
      <c r="A23" t="s">
        <v>143</v>
      </c>
      <c r="B23" s="4">
        <v>5</v>
      </c>
      <c r="C23" s="10">
        <v>0.00918745512241448</v>
      </c>
      <c r="D23" s="10">
        <v>0.00103129728082475</v>
      </c>
      <c r="E23" s="10">
        <v>0.00143561868977518</v>
      </c>
      <c r="H23" s="10"/>
      <c r="I23" s="10"/>
      <c r="N23" s="5"/>
      <c r="O23" s="5"/>
      <c r="P23" s="5"/>
    </row>
    <row r="24" spans="1:16">
      <c r="A24" t="s">
        <v>156</v>
      </c>
      <c r="B24" s="4">
        <v>1.2</v>
      </c>
      <c r="C24" s="10">
        <v>0.00304605060702622</v>
      </c>
      <c r="D24" s="10">
        <v>0.000352553533176226</v>
      </c>
      <c r="E24" s="10">
        <v>0.000713684003825016</v>
      </c>
      <c r="H24" s="14">
        <v>8.384030418</v>
      </c>
      <c r="I24" s="14">
        <v>34.7338403</v>
      </c>
      <c r="N24" s="5"/>
      <c r="O24" s="5"/>
      <c r="P24" s="5"/>
    </row>
    <row r="25" spans="1:16">
      <c r="A25" t="s">
        <v>156</v>
      </c>
      <c r="B25" s="4">
        <v>5</v>
      </c>
      <c r="C25" s="10">
        <v>0.00933536502642193</v>
      </c>
      <c r="D25" s="10">
        <v>0.00202416667336921</v>
      </c>
      <c r="E25" s="10">
        <v>0.0032672701215573</v>
      </c>
      <c r="H25" s="10"/>
      <c r="I25" s="10"/>
      <c r="N25" s="5"/>
      <c r="O25" s="5"/>
      <c r="P25" s="5"/>
    </row>
    <row r="26" spans="1:16">
      <c r="A26" t="s">
        <v>169</v>
      </c>
      <c r="B26" s="4">
        <v>1.2</v>
      </c>
      <c r="C26" s="10">
        <v>0.0225029863241245</v>
      </c>
      <c r="D26" s="10">
        <v>0.00197009952823065</v>
      </c>
      <c r="E26" s="10">
        <v>0.000256183679985743</v>
      </c>
      <c r="H26" s="14">
        <v>0.35053554</v>
      </c>
      <c r="I26" s="14">
        <v>2.979552093</v>
      </c>
      <c r="N26" s="5"/>
      <c r="O26" s="5"/>
      <c r="P26" s="5"/>
    </row>
    <row r="27" spans="1:16">
      <c r="A27" t="s">
        <v>169</v>
      </c>
      <c r="B27" s="4">
        <v>5</v>
      </c>
      <c r="C27" s="10">
        <v>0.0277127569810497</v>
      </c>
      <c r="D27" s="10">
        <v>0.00231997204594546</v>
      </c>
      <c r="E27" s="10">
        <v>0.00150904976068897</v>
      </c>
      <c r="H27" s="10"/>
      <c r="I27" s="10"/>
      <c r="N27" s="5"/>
      <c r="O27" s="5"/>
      <c r="P27" s="5"/>
    </row>
    <row r="28" spans="1:16">
      <c r="A28" t="s">
        <v>182</v>
      </c>
      <c r="B28" s="4">
        <v>1.2</v>
      </c>
      <c r="C28" s="10">
        <v>0.00719348402275231</v>
      </c>
      <c r="D28" s="10">
        <v>0.000486157470336798</v>
      </c>
      <c r="E28" s="10">
        <v>0.000400158083069518</v>
      </c>
      <c r="H28" s="14">
        <v>0.128893663</v>
      </c>
      <c r="I28" s="14">
        <v>0.902255639</v>
      </c>
      <c r="N28" s="5"/>
      <c r="O28" s="5"/>
      <c r="P28" s="5"/>
    </row>
    <row r="29" spans="1:16">
      <c r="A29" t="s">
        <v>182</v>
      </c>
      <c r="B29" s="4">
        <v>5</v>
      </c>
      <c r="C29" s="10">
        <v>0.0200535387527257</v>
      </c>
      <c r="D29" s="10">
        <v>0.000881160414985445</v>
      </c>
      <c r="E29" s="10">
        <v>0.00120171185152732</v>
      </c>
      <c r="N29" s="5"/>
      <c r="O29" s="5"/>
      <c r="P29" s="5"/>
    </row>
    <row r="30" spans="14:16">
      <c r="N30" s="5"/>
      <c r="O30" s="5"/>
      <c r="P30" s="5"/>
    </row>
    <row r="31" spans="14:16">
      <c r="N31" s="5"/>
      <c r="O31" s="5"/>
      <c r="P31" s="5"/>
    </row>
    <row r="32" spans="14:16">
      <c r="N32" s="5"/>
      <c r="O32" s="5"/>
      <c r="P32" s="5"/>
    </row>
    <row r="33" spans="1:16">
      <c r="A33" s="11">
        <f>AVERAGE(C2:E16)</f>
        <v>0.00109269107014314</v>
      </c>
      <c r="B33" s="4">
        <f>A33/A34</f>
        <v>0.229537619634319</v>
      </c>
      <c r="E33" s="15"/>
      <c r="F33" s="13"/>
      <c r="G33" s="13"/>
      <c r="H33" s="16"/>
      <c r="I33" s="13"/>
      <c r="J33" s="18"/>
      <c r="K33" s="15"/>
      <c r="N33" s="5"/>
      <c r="O33" s="5"/>
      <c r="P33" s="5"/>
    </row>
    <row r="34" spans="1:16">
      <c r="A34" s="11">
        <f>AVERAGE(C20:E29)</f>
        <v>0.00476040080873857</v>
      </c>
      <c r="E34" s="16"/>
      <c r="F34" s="13"/>
      <c r="G34" s="13"/>
      <c r="H34" s="16"/>
      <c r="K34" s="15"/>
      <c r="N34" s="5"/>
      <c r="O34" s="5"/>
      <c r="P34" s="5"/>
    </row>
    <row r="35" spans="6:16">
      <c r="F35" s="13"/>
      <c r="G35" s="13"/>
      <c r="K35" s="15"/>
      <c r="N35" s="5"/>
      <c r="O35" s="5"/>
      <c r="P35" s="5"/>
    </row>
    <row r="36" spans="6:16">
      <c r="F36" s="13"/>
      <c r="G36" s="13"/>
      <c r="K36" s="15"/>
      <c r="N36" s="5"/>
      <c r="O36" s="5"/>
      <c r="P36" s="5"/>
    </row>
    <row r="37" spans="6:16">
      <c r="F37" s="13"/>
      <c r="G37" s="13"/>
      <c r="K37" s="15"/>
      <c r="N37" s="5"/>
      <c r="O37" s="5"/>
      <c r="P37" s="5"/>
    </row>
    <row r="38" spans="6:16">
      <c r="F38" s="13"/>
      <c r="G38" s="13"/>
      <c r="K38" s="15"/>
      <c r="N38" s="5"/>
      <c r="O38" s="5"/>
      <c r="P38" s="5"/>
    </row>
    <row r="39" spans="6:16">
      <c r="F39" s="16"/>
      <c r="G39" s="16"/>
      <c r="I39" s="16"/>
      <c r="J39" s="15"/>
      <c r="K39" s="15"/>
      <c r="N39" s="5"/>
      <c r="O39" s="5"/>
      <c r="P39" s="5"/>
    </row>
    <row r="40" spans="6:16">
      <c r="F40" s="16"/>
      <c r="G40" s="16"/>
      <c r="I40" s="16"/>
      <c r="J40" s="15"/>
      <c r="K40" s="15"/>
      <c r="N40" s="5"/>
      <c r="O40" s="5"/>
      <c r="P40" s="5"/>
    </row>
    <row r="41" spans="6:16">
      <c r="F41" s="16"/>
      <c r="G41" s="16"/>
      <c r="I41" s="16"/>
      <c r="J41" s="15"/>
      <c r="K41" s="15"/>
      <c r="N41" s="5"/>
      <c r="O41" s="5"/>
      <c r="P41" s="5"/>
    </row>
    <row r="42" spans="6:16">
      <c r="F42" s="16"/>
      <c r="G42" s="16"/>
      <c r="I42" s="16"/>
      <c r="J42" s="15"/>
      <c r="K42" s="15"/>
      <c r="N42" s="5"/>
      <c r="O42" s="5"/>
      <c r="P42" s="5"/>
    </row>
    <row r="43" spans="6:16">
      <c r="F43" s="16"/>
      <c r="G43" s="16"/>
      <c r="I43" s="16"/>
      <c r="J43" s="15"/>
      <c r="K43" s="15"/>
      <c r="N43" s="5"/>
      <c r="O43" s="5"/>
      <c r="P43" s="5"/>
    </row>
    <row r="44" spans="14:16">
      <c r="N44" s="5"/>
      <c r="O44" s="5"/>
      <c r="P44" s="5"/>
    </row>
    <row r="45" spans="14:16">
      <c r="N45" s="5"/>
      <c r="O45" s="5"/>
      <c r="P45" s="5"/>
    </row>
    <row r="46" spans="14:16">
      <c r="N46" s="5"/>
      <c r="O46" s="5"/>
      <c r="P46" s="5"/>
    </row>
    <row r="47" spans="14:16">
      <c r="N47" s="5"/>
      <c r="O47" s="5"/>
      <c r="P47" s="5"/>
    </row>
    <row r="48" spans="14:16">
      <c r="N48" s="5"/>
      <c r="O48" s="5"/>
      <c r="P48" s="5"/>
    </row>
    <row r="49" spans="14:16">
      <c r="N49" s="5"/>
      <c r="O49" s="5"/>
      <c r="P49" s="5"/>
    </row>
    <row r="50" spans="14:16">
      <c r="N50" s="5"/>
      <c r="O50" s="5"/>
      <c r="P50" s="5"/>
    </row>
    <row r="51" spans="14:16">
      <c r="N51" s="5"/>
      <c r="O51" s="5"/>
      <c r="P51" s="5"/>
    </row>
    <row r="52" spans="14:16">
      <c r="N52" s="5"/>
      <c r="O52" s="5"/>
      <c r="P52" s="5"/>
    </row>
    <row r="53" spans="14:16">
      <c r="N53" s="5"/>
      <c r="O53" s="5"/>
      <c r="P53" s="5"/>
    </row>
    <row r="54" spans="14:16">
      <c r="N54" s="5"/>
      <c r="O54" s="5"/>
      <c r="P54" s="5"/>
    </row>
    <row r="55" spans="14:16">
      <c r="N55" s="5"/>
      <c r="O55" s="5"/>
      <c r="P55" s="5"/>
    </row>
    <row r="56" spans="14:16">
      <c r="N56" s="5"/>
      <c r="O56" s="5"/>
      <c r="P56" s="5"/>
    </row>
    <row r="57" spans="14:16">
      <c r="N57" s="5"/>
      <c r="O57" s="5"/>
      <c r="P57" s="5"/>
    </row>
    <row r="58" spans="14:16">
      <c r="N58" s="5"/>
      <c r="O58" s="5"/>
      <c r="P58" s="5"/>
    </row>
    <row r="59" spans="14:16">
      <c r="N59" s="5"/>
      <c r="O59" s="5"/>
      <c r="P59" s="5"/>
    </row>
    <row r="60" spans="14:16">
      <c r="N60" s="5"/>
      <c r="O60" s="5"/>
      <c r="P60" s="5"/>
    </row>
    <row r="61" spans="14:16">
      <c r="N61" s="5"/>
      <c r="O61" s="5"/>
      <c r="P61" s="5"/>
    </row>
    <row r="62" spans="14:16">
      <c r="N62" s="5"/>
      <c r="O62" s="5"/>
      <c r="P62" s="5"/>
    </row>
    <row r="63" spans="14:16">
      <c r="N63" s="5"/>
      <c r="O63" s="5"/>
      <c r="P63" s="5"/>
    </row>
    <row r="64" spans="14:16">
      <c r="N64" s="5"/>
      <c r="O64" s="5"/>
      <c r="P64" s="5"/>
    </row>
    <row r="65" spans="14:16">
      <c r="N65" s="5"/>
      <c r="O65" s="5"/>
      <c r="P65" s="5"/>
    </row>
    <row r="66" spans="14:16">
      <c r="N66" s="5"/>
      <c r="O66" s="5"/>
      <c r="P66" s="5"/>
    </row>
    <row r="67" spans="14:16">
      <c r="N67" s="5"/>
      <c r="O67" s="5"/>
      <c r="P67" s="5"/>
    </row>
    <row r="68" spans="14:16">
      <c r="N68" s="5"/>
      <c r="O68" s="5"/>
      <c r="P68" s="5"/>
    </row>
    <row r="69" spans="14:16">
      <c r="N69" s="5"/>
      <c r="O69" s="5"/>
      <c r="P69" s="5"/>
    </row>
    <row r="70" spans="14:16">
      <c r="N70" s="5"/>
      <c r="O70" s="5"/>
      <c r="P70" s="5"/>
    </row>
    <row r="71" spans="14:16">
      <c r="N71" s="5"/>
      <c r="O71" s="5"/>
      <c r="P71" s="5"/>
    </row>
    <row r="72" spans="14:16">
      <c r="N72" s="5"/>
      <c r="O72" s="5"/>
      <c r="P72" s="5"/>
    </row>
    <row r="73" spans="14:16">
      <c r="N73" s="5"/>
      <c r="O73" s="5"/>
      <c r="P73" s="5"/>
    </row>
    <row r="74" spans="14:16">
      <c r="N74" s="5"/>
      <c r="O74" s="5"/>
      <c r="P74" s="5"/>
    </row>
    <row r="75" spans="14:16">
      <c r="N75" s="5"/>
      <c r="O75" s="5"/>
      <c r="P75" s="5"/>
    </row>
    <row r="76" spans="14:16">
      <c r="N76" s="5"/>
      <c r="O76" s="5"/>
      <c r="P76" s="5"/>
    </row>
    <row r="77" spans="14:16">
      <c r="N77" s="5"/>
      <c r="O77" s="5"/>
      <c r="P77" s="5"/>
    </row>
    <row r="78" spans="14:16">
      <c r="N78" s="5"/>
      <c r="O78" s="5"/>
      <c r="P78" s="5"/>
    </row>
    <row r="79" spans="14:16">
      <c r="N79" s="5"/>
      <c r="O79" s="5"/>
      <c r="P79" s="5"/>
    </row>
    <row r="80" spans="14:16">
      <c r="N80" s="5"/>
      <c r="O80" s="5"/>
      <c r="P80" s="5"/>
    </row>
    <row r="81" spans="14:16">
      <c r="N81" s="5"/>
      <c r="O81" s="5"/>
      <c r="P81" s="5"/>
    </row>
    <row r="82" spans="14:16">
      <c r="N82" s="5"/>
      <c r="O82" s="5"/>
      <c r="P82" s="5"/>
    </row>
    <row r="83" spans="14:16">
      <c r="N83" s="5"/>
      <c r="O83" s="5"/>
      <c r="P83" s="5"/>
    </row>
    <row r="84" spans="14:16">
      <c r="N84" s="5"/>
      <c r="O84" s="5"/>
      <c r="P84" s="5"/>
    </row>
    <row r="85" spans="14:16">
      <c r="N85" s="5"/>
      <c r="O85" s="5"/>
      <c r="P85" s="5"/>
    </row>
    <row r="86" spans="14:16">
      <c r="N86" s="5"/>
      <c r="O86" s="5"/>
      <c r="P86" s="5"/>
    </row>
    <row r="87" spans="14:16">
      <c r="N87" s="5"/>
      <c r="O87" s="5"/>
      <c r="P87" s="5"/>
    </row>
    <row r="88" spans="14:16">
      <c r="N88" s="5"/>
      <c r="O88" s="5"/>
      <c r="P88" s="5"/>
    </row>
    <row r="89" spans="14:16">
      <c r="N89" s="5"/>
      <c r="O89" s="5"/>
      <c r="P89" s="5"/>
    </row>
    <row r="90" spans="14:16">
      <c r="N90" s="5"/>
      <c r="O90" s="5"/>
      <c r="P90" s="5"/>
    </row>
    <row r="91" spans="14:16">
      <c r="N91" s="5"/>
      <c r="O91" s="5"/>
      <c r="P91" s="5"/>
    </row>
    <row r="92" spans="14:16">
      <c r="N92" s="5"/>
      <c r="O92" s="5"/>
      <c r="P92" s="5"/>
    </row>
    <row r="93" spans="14:16">
      <c r="N93" s="5"/>
      <c r="O93" s="5"/>
      <c r="P93" s="5"/>
    </row>
    <row r="94" spans="14:16">
      <c r="N94" s="5"/>
      <c r="O94" s="5"/>
      <c r="P94" s="5"/>
    </row>
    <row r="95" spans="14:16">
      <c r="N95" s="5"/>
      <c r="O95" s="5"/>
      <c r="P95" s="5"/>
    </row>
    <row r="96" spans="14:16">
      <c r="N96" s="5"/>
      <c r="O96" s="5"/>
      <c r="P96" s="5"/>
    </row>
    <row r="97" spans="14:16">
      <c r="N97" s="5"/>
      <c r="O97" s="5"/>
      <c r="P97" s="5"/>
    </row>
    <row r="98" spans="14:16">
      <c r="N98" s="5"/>
      <c r="O98" s="5"/>
      <c r="P98" s="5"/>
    </row>
    <row r="99" spans="14:16">
      <c r="N99" s="5"/>
      <c r="O99" s="5"/>
      <c r="P99" s="5"/>
    </row>
    <row r="100" spans="14:16">
      <c r="N100" s="5"/>
      <c r="O100" s="5"/>
      <c r="P100" s="5"/>
    </row>
    <row r="101" spans="14:16">
      <c r="N101" s="5"/>
      <c r="O101" s="5"/>
      <c r="P101" s="5"/>
    </row>
    <row r="102" spans="14:16">
      <c r="N102" s="5"/>
      <c r="O102" s="5"/>
      <c r="P102" s="5"/>
    </row>
    <row r="103" spans="14:16">
      <c r="N103" s="5"/>
      <c r="O103" s="5"/>
      <c r="P103" s="5"/>
    </row>
    <row r="104" spans="14:16">
      <c r="N104" s="5"/>
      <c r="O104" s="5"/>
      <c r="P104" s="5"/>
    </row>
    <row r="105" spans="14:16">
      <c r="N105" s="5"/>
      <c r="O105" s="5"/>
      <c r="P105" s="5"/>
    </row>
    <row r="106" spans="14:16">
      <c r="N106" s="5"/>
      <c r="O106" s="5"/>
      <c r="P106" s="5"/>
    </row>
    <row r="107" spans="14:16">
      <c r="N107" s="5"/>
      <c r="O107" s="5"/>
      <c r="P107" s="5"/>
    </row>
    <row r="108" spans="14:16">
      <c r="N108" s="5"/>
      <c r="O108" s="5"/>
      <c r="P108" s="5"/>
    </row>
    <row r="109" spans="14:16">
      <c r="N109" s="5"/>
      <c r="O109" s="5"/>
      <c r="P109" s="5"/>
    </row>
    <row r="110" spans="14:16">
      <c r="N110" s="5"/>
      <c r="O110" s="5"/>
      <c r="P110" s="5"/>
    </row>
    <row r="111" spans="14:16">
      <c r="N111" s="5"/>
      <c r="O111" s="5"/>
      <c r="P111" s="5"/>
    </row>
    <row r="112" spans="14:16">
      <c r="N112" s="5"/>
      <c r="O112" s="5"/>
      <c r="P112" s="5"/>
    </row>
    <row r="113" spans="14:16">
      <c r="N113" s="5"/>
      <c r="O113" s="5"/>
      <c r="P113" s="5"/>
    </row>
    <row r="114" spans="14:16">
      <c r="N114" s="5"/>
      <c r="O114" s="5"/>
      <c r="P114" s="5"/>
    </row>
    <row r="115" spans="14:16">
      <c r="N115" s="5"/>
      <c r="O115" s="5"/>
      <c r="P115" s="5"/>
    </row>
    <row r="116" spans="14:16">
      <c r="N116" s="5"/>
      <c r="O116" s="5"/>
      <c r="P116" s="5"/>
    </row>
    <row r="117" spans="14:16">
      <c r="N117" s="5"/>
      <c r="O117" s="5"/>
      <c r="P117" s="5"/>
    </row>
    <row r="118" spans="14:16">
      <c r="N118" s="5"/>
      <c r="O118" s="5"/>
      <c r="P118" s="5"/>
    </row>
    <row r="119" spans="14:16">
      <c r="N119" s="5"/>
      <c r="O119" s="5"/>
      <c r="P119" s="5"/>
    </row>
    <row r="120" spans="14:16">
      <c r="N120" s="5"/>
      <c r="O120" s="5"/>
      <c r="P120" s="5"/>
    </row>
    <row r="121" spans="14:16">
      <c r="N121" s="5"/>
      <c r="O121" s="5"/>
      <c r="P121" s="5"/>
    </row>
    <row r="122" spans="14:16">
      <c r="N122" s="5"/>
      <c r="O122" s="5"/>
      <c r="P122" s="5"/>
    </row>
    <row r="123" spans="14:16">
      <c r="N123" s="5"/>
      <c r="O123" s="5"/>
      <c r="P123" s="5"/>
    </row>
    <row r="124" spans="14:16">
      <c r="N124" s="5"/>
      <c r="O124" s="5"/>
      <c r="P124" s="5"/>
    </row>
    <row r="125" spans="14:16">
      <c r="N125" s="5"/>
      <c r="O125" s="5"/>
      <c r="P125" s="5"/>
    </row>
    <row r="126" spans="14:16">
      <c r="N126" s="5"/>
      <c r="O126" s="5"/>
      <c r="P126" s="5"/>
    </row>
    <row r="127" spans="14:16">
      <c r="N127" s="5"/>
      <c r="O127" s="5"/>
      <c r="P127" s="5"/>
    </row>
    <row r="128" spans="14:16">
      <c r="N128" s="5"/>
      <c r="O128" s="5"/>
      <c r="P128" s="5"/>
    </row>
    <row r="129" spans="14:16">
      <c r="N129" s="5"/>
      <c r="O129" s="5"/>
      <c r="P129" s="5"/>
    </row>
    <row r="130" spans="14:16">
      <c r="N130" s="5"/>
      <c r="O130" s="5"/>
      <c r="P130" s="5"/>
    </row>
    <row r="131" spans="14:16">
      <c r="N131" s="5"/>
      <c r="O131" s="5"/>
      <c r="P131" s="5"/>
    </row>
    <row r="132" spans="14:16">
      <c r="N132" s="5"/>
      <c r="O132" s="5"/>
      <c r="P132" s="5"/>
    </row>
    <row r="133" spans="14:16">
      <c r="N133" s="5"/>
      <c r="O133" s="5"/>
      <c r="P133" s="5"/>
    </row>
    <row r="134" spans="14:16">
      <c r="N134" s="5"/>
      <c r="O134" s="5"/>
      <c r="P134" s="5"/>
    </row>
    <row r="135" spans="14:16">
      <c r="N135" s="5"/>
      <c r="O135" s="5"/>
      <c r="P135" s="5"/>
    </row>
    <row r="136" spans="14:16">
      <c r="N136" s="5"/>
      <c r="O136" s="5"/>
      <c r="P136" s="5"/>
    </row>
    <row r="137" spans="14:16">
      <c r="N137" s="5"/>
      <c r="O137" s="5"/>
      <c r="P137" s="5"/>
    </row>
    <row r="138" spans="14:16">
      <c r="N138" s="5"/>
      <c r="O138" s="5"/>
      <c r="P138" s="5"/>
    </row>
    <row r="139" spans="14:16">
      <c r="N139" s="5"/>
      <c r="O139" s="5"/>
      <c r="P139" s="5"/>
    </row>
    <row r="140" spans="14:16">
      <c r="N140" s="5"/>
      <c r="O140" s="5"/>
      <c r="P140" s="5"/>
    </row>
    <row r="141" spans="14:16">
      <c r="N141" s="5"/>
      <c r="O141" s="5"/>
      <c r="P141" s="5"/>
    </row>
    <row r="142" spans="14:16">
      <c r="N142" s="5"/>
      <c r="O142" s="5"/>
      <c r="P142" s="5"/>
    </row>
    <row r="143" spans="14:16">
      <c r="N143" s="5"/>
      <c r="O143" s="5"/>
      <c r="P143" s="5"/>
    </row>
    <row r="144" spans="14:16">
      <c r="N144" s="5"/>
      <c r="O144" s="5"/>
      <c r="P144" s="5"/>
    </row>
    <row r="145" spans="14:16">
      <c r="N145" s="5"/>
      <c r="O145" s="5"/>
      <c r="P145" s="5"/>
    </row>
    <row r="146" spans="14:16">
      <c r="N146" s="5"/>
      <c r="O146" s="5"/>
      <c r="P146" s="5"/>
    </row>
    <row r="147" spans="14:16">
      <c r="N147" s="5"/>
      <c r="O147" s="5"/>
      <c r="P147" s="5"/>
    </row>
    <row r="148" spans="14:16">
      <c r="N148" s="5"/>
      <c r="O148" s="5"/>
      <c r="P148" s="5"/>
    </row>
    <row r="149" spans="14:16">
      <c r="N149" s="5"/>
      <c r="O149" s="5"/>
      <c r="P149" s="5"/>
    </row>
    <row r="150" spans="14:16">
      <c r="N150" s="5"/>
      <c r="O150" s="5"/>
      <c r="P150" s="5"/>
    </row>
    <row r="151" spans="14:16">
      <c r="N151" s="5"/>
      <c r="O151" s="5"/>
      <c r="P151" s="5"/>
    </row>
    <row r="152" spans="14:16">
      <c r="N152" s="5"/>
      <c r="O152" s="5"/>
      <c r="P152" s="5"/>
    </row>
    <row r="153" spans="14:16">
      <c r="N153" s="5"/>
      <c r="O153" s="5"/>
      <c r="P153" s="5"/>
    </row>
    <row r="154" spans="14:16">
      <c r="N154" s="5"/>
      <c r="O154" s="5"/>
      <c r="P154" s="5"/>
    </row>
    <row r="155" spans="14:16">
      <c r="N155" s="5"/>
      <c r="O155" s="5"/>
      <c r="P155" s="5"/>
    </row>
    <row r="156" spans="14:16">
      <c r="N156" s="5"/>
      <c r="O156" s="5"/>
      <c r="P156" s="5"/>
    </row>
    <row r="157" spans="14:16">
      <c r="N157" s="5"/>
      <c r="O157" s="5"/>
      <c r="P157" s="5"/>
    </row>
    <row r="158" spans="14:16">
      <c r="N158" s="5"/>
      <c r="O158" s="5"/>
      <c r="P158" s="5"/>
    </row>
    <row r="159" spans="14:16">
      <c r="N159" s="5"/>
      <c r="O159" s="5"/>
      <c r="P159" s="5"/>
    </row>
    <row r="160" spans="14:16">
      <c r="N160" s="5"/>
      <c r="O160" s="5"/>
      <c r="P160" s="5"/>
    </row>
    <row r="161" spans="14:16">
      <c r="N161" s="5"/>
      <c r="O161" s="5"/>
      <c r="P161" s="5"/>
    </row>
    <row r="162" spans="14:16">
      <c r="N162" s="5"/>
      <c r="O162" s="5"/>
      <c r="P162" s="5"/>
    </row>
    <row r="163" spans="14:16">
      <c r="N163" s="5"/>
      <c r="O163" s="5"/>
      <c r="P163" s="5"/>
    </row>
    <row r="164" spans="14:16">
      <c r="N164" s="5"/>
      <c r="O164" s="5"/>
      <c r="P164" s="5"/>
    </row>
    <row r="165" spans="14:16">
      <c r="N165" s="5"/>
      <c r="O165" s="5"/>
      <c r="P165" s="5"/>
    </row>
    <row r="166" spans="14:16">
      <c r="N166" s="5"/>
      <c r="O166" s="5"/>
      <c r="P166" s="5"/>
    </row>
    <row r="167" spans="14:16">
      <c r="N167" s="5"/>
      <c r="O167" s="5"/>
      <c r="P167" s="5"/>
    </row>
    <row r="168" spans="14:16">
      <c r="N168" s="5"/>
      <c r="O168" s="5"/>
      <c r="P168" s="5"/>
    </row>
    <row r="169" spans="14:16">
      <c r="N169" s="5"/>
      <c r="O169" s="5"/>
      <c r="P169" s="5"/>
    </row>
    <row r="170" spans="14:16">
      <c r="N170" s="5"/>
      <c r="O170" s="5"/>
      <c r="P170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F18" sqref="F18"/>
    </sheetView>
  </sheetViews>
  <sheetFormatPr defaultColWidth="8.8" defaultRowHeight="15"/>
  <sheetData>
    <row r="1" spans="1:1">
      <c r="A1" t="s">
        <v>262</v>
      </c>
    </row>
    <row r="2" spans="2:13">
      <c r="B2" t="s">
        <v>263</v>
      </c>
      <c r="C2" t="s">
        <v>264</v>
      </c>
      <c r="D2" t="s">
        <v>265</v>
      </c>
      <c r="E2" t="s">
        <v>266</v>
      </c>
      <c r="F2" t="s">
        <v>267</v>
      </c>
      <c r="G2" t="s">
        <v>268</v>
      </c>
      <c r="H2" t="s">
        <v>269</v>
      </c>
      <c r="I2" t="s">
        <v>270</v>
      </c>
      <c r="J2" t="s">
        <v>271</v>
      </c>
      <c r="K2" t="s">
        <v>272</v>
      </c>
      <c r="L2" t="s">
        <v>260</v>
      </c>
      <c r="M2" t="s">
        <v>261</v>
      </c>
    </row>
    <row r="3" spans="1:13">
      <c r="A3" t="s">
        <v>263</v>
      </c>
      <c r="B3" s="1"/>
      <c r="C3" s="2">
        <v>0.003</v>
      </c>
      <c r="D3" s="1">
        <v>0.1942</v>
      </c>
      <c r="E3" s="1">
        <v>0.3083</v>
      </c>
      <c r="F3" s="1">
        <v>0.5801</v>
      </c>
      <c r="G3" s="2">
        <v>0.0193</v>
      </c>
      <c r="H3" s="2">
        <v>0.0435</v>
      </c>
      <c r="I3" s="2">
        <v>0.0131</v>
      </c>
      <c r="J3" s="1">
        <v>0.2172</v>
      </c>
      <c r="K3" s="1">
        <v>0.676</v>
      </c>
      <c r="L3" s="1">
        <v>0.0757</v>
      </c>
      <c r="M3" s="2">
        <v>0.0403</v>
      </c>
    </row>
    <row r="4" spans="1:13">
      <c r="A4" t="s">
        <v>264</v>
      </c>
      <c r="B4" s="3">
        <v>0.98</v>
      </c>
      <c r="C4" s="1"/>
      <c r="D4" s="1">
        <v>0.3318</v>
      </c>
      <c r="E4" s="1">
        <v>0.1745</v>
      </c>
      <c r="F4" s="1">
        <v>0.4469</v>
      </c>
      <c r="G4" s="2">
        <v>0.007</v>
      </c>
      <c r="H4" s="2">
        <v>0.0171</v>
      </c>
      <c r="I4" s="2">
        <v>0.004</v>
      </c>
      <c r="J4" s="1">
        <v>0.3725</v>
      </c>
      <c r="K4" s="1">
        <v>0.7245</v>
      </c>
      <c r="L4" s="1">
        <v>0.144</v>
      </c>
      <c r="M4" s="1">
        <v>0.0803</v>
      </c>
    </row>
    <row r="5" spans="1:13">
      <c r="A5" t="s">
        <v>265</v>
      </c>
      <c r="B5" s="1">
        <v>0.69</v>
      </c>
      <c r="C5" s="1">
        <v>0.55</v>
      </c>
      <c r="D5" s="1"/>
      <c r="E5" s="1">
        <v>0.8881</v>
      </c>
      <c r="F5" s="1">
        <v>0.7552</v>
      </c>
      <c r="G5" s="1">
        <v>0.3523</v>
      </c>
      <c r="H5" s="1">
        <v>0.605</v>
      </c>
      <c r="I5" s="1">
        <v>0.3988</v>
      </c>
      <c r="J5" s="2">
        <v>0.0021</v>
      </c>
      <c r="K5" s="1">
        <v>0.9602</v>
      </c>
      <c r="L5" s="2">
        <v>0.0363</v>
      </c>
      <c r="M5" s="1">
        <v>0.0674</v>
      </c>
    </row>
    <row r="6" spans="1:13">
      <c r="A6" t="s">
        <v>266</v>
      </c>
      <c r="B6" s="1">
        <v>0.58</v>
      </c>
      <c r="C6" s="1">
        <v>0.72</v>
      </c>
      <c r="D6" s="1">
        <v>-0.09</v>
      </c>
      <c r="E6" s="1"/>
      <c r="F6" s="1">
        <v>0.073</v>
      </c>
      <c r="G6" s="1">
        <v>0.1114</v>
      </c>
      <c r="H6" s="1">
        <v>0.0951</v>
      </c>
      <c r="I6" s="1">
        <v>0.1245</v>
      </c>
      <c r="J6" s="1">
        <v>0.7845</v>
      </c>
      <c r="K6" s="1">
        <v>0.9944</v>
      </c>
      <c r="L6" s="1">
        <v>0.651</v>
      </c>
      <c r="M6" s="1">
        <v>0.4862</v>
      </c>
    </row>
    <row r="7" spans="1:13">
      <c r="A7" t="s">
        <v>267</v>
      </c>
      <c r="B7" s="1">
        <v>0.34</v>
      </c>
      <c r="C7" s="1">
        <v>0.45</v>
      </c>
      <c r="D7" s="1">
        <v>-0.19</v>
      </c>
      <c r="E7" s="1">
        <v>0.84</v>
      </c>
      <c r="F7" s="1"/>
      <c r="G7" s="1">
        <v>0.3101</v>
      </c>
      <c r="H7" s="1">
        <v>0.2303</v>
      </c>
      <c r="I7" s="1">
        <v>0.2763</v>
      </c>
      <c r="J7" s="1">
        <v>0.6985</v>
      </c>
      <c r="K7" s="1">
        <v>0.7442</v>
      </c>
      <c r="L7" s="1">
        <v>0.6882</v>
      </c>
      <c r="M7" s="1">
        <v>0.5789</v>
      </c>
    </row>
    <row r="8" spans="1:13">
      <c r="A8" t="s">
        <v>268</v>
      </c>
      <c r="B8" s="3">
        <v>0.94</v>
      </c>
      <c r="C8" s="3">
        <v>0.97</v>
      </c>
      <c r="D8" s="1">
        <v>0.54</v>
      </c>
      <c r="E8" s="1">
        <v>0.79</v>
      </c>
      <c r="F8" s="1">
        <v>0.58</v>
      </c>
      <c r="G8" s="1"/>
      <c r="H8" s="2">
        <v>0.0333</v>
      </c>
      <c r="I8" s="2">
        <v>0.0054</v>
      </c>
      <c r="J8" s="1">
        <v>0.4288</v>
      </c>
      <c r="K8" s="1">
        <v>0.9155</v>
      </c>
      <c r="L8" s="1">
        <v>0.1206</v>
      </c>
      <c r="M8" s="1">
        <v>0.0576</v>
      </c>
    </row>
    <row r="9" spans="1:13">
      <c r="A9" t="s">
        <v>269</v>
      </c>
      <c r="B9" s="3">
        <v>0.89</v>
      </c>
      <c r="C9" s="3">
        <v>0.94</v>
      </c>
      <c r="D9" s="1">
        <v>0.32</v>
      </c>
      <c r="E9" s="1">
        <v>0.81</v>
      </c>
      <c r="F9" s="1">
        <v>0.65</v>
      </c>
      <c r="G9" s="3">
        <v>0.91</v>
      </c>
      <c r="H9" s="1"/>
      <c r="I9" s="2">
        <v>0.0053</v>
      </c>
      <c r="J9" s="1">
        <v>0.6203</v>
      </c>
      <c r="K9" s="1">
        <v>0.4819</v>
      </c>
      <c r="L9" s="1">
        <v>0.274</v>
      </c>
      <c r="M9" s="1">
        <v>0.185</v>
      </c>
    </row>
    <row r="10" spans="1:13">
      <c r="A10" t="s">
        <v>270</v>
      </c>
      <c r="B10" s="3">
        <v>0.95</v>
      </c>
      <c r="C10" s="3">
        <v>0.98</v>
      </c>
      <c r="D10" s="1">
        <v>0.49</v>
      </c>
      <c r="E10" s="1">
        <v>0.77</v>
      </c>
      <c r="F10" s="1">
        <v>0.61</v>
      </c>
      <c r="G10" s="3">
        <v>0.97</v>
      </c>
      <c r="H10" s="3">
        <v>0.97</v>
      </c>
      <c r="I10" s="1"/>
      <c r="J10" s="1">
        <v>0.4366</v>
      </c>
      <c r="K10" s="1">
        <v>0.6315</v>
      </c>
      <c r="L10" s="1">
        <v>0.136</v>
      </c>
      <c r="M10" s="1">
        <v>0.0744</v>
      </c>
    </row>
    <row r="11" spans="1:13">
      <c r="A11" t="s">
        <v>271</v>
      </c>
      <c r="B11" s="1">
        <v>0.67</v>
      </c>
      <c r="C11" s="1">
        <v>0.52</v>
      </c>
      <c r="D11" s="3">
        <v>0.99</v>
      </c>
      <c r="E11" s="1">
        <v>-0.17</v>
      </c>
      <c r="F11" s="1">
        <v>-0.24</v>
      </c>
      <c r="G11" s="1">
        <v>0.47</v>
      </c>
      <c r="H11" s="1">
        <v>0.3</v>
      </c>
      <c r="I11" s="1">
        <v>0.46</v>
      </c>
      <c r="J11" s="1"/>
      <c r="K11" s="1">
        <v>0.7773</v>
      </c>
      <c r="L11" s="2">
        <v>0.0528</v>
      </c>
      <c r="M11" s="1">
        <v>0.097</v>
      </c>
    </row>
    <row r="12" spans="1:16">
      <c r="A12" t="s">
        <v>272</v>
      </c>
      <c r="B12" s="1">
        <v>-0.26</v>
      </c>
      <c r="C12" s="1">
        <v>-0.22</v>
      </c>
      <c r="D12" s="1">
        <v>-0.03</v>
      </c>
      <c r="E12" s="1">
        <v>0</v>
      </c>
      <c r="F12" s="1">
        <v>-0.2</v>
      </c>
      <c r="G12" s="1">
        <v>-0.07</v>
      </c>
      <c r="H12" s="1">
        <v>-0.42</v>
      </c>
      <c r="I12" s="1">
        <v>-0.29</v>
      </c>
      <c r="J12" s="1">
        <v>-0.18</v>
      </c>
      <c r="K12" s="1"/>
      <c r="L12" s="1">
        <v>0.8016</v>
      </c>
      <c r="M12" s="1">
        <v>0.8399</v>
      </c>
      <c r="O12">
        <v>15</v>
      </c>
      <c r="P12">
        <v>11</v>
      </c>
    </row>
    <row r="13" spans="1:13">
      <c r="A13" t="s">
        <v>260</v>
      </c>
      <c r="B13" s="1">
        <v>0.84</v>
      </c>
      <c r="C13" s="1">
        <v>0.75</v>
      </c>
      <c r="D13" s="3">
        <v>0.9</v>
      </c>
      <c r="E13" s="1">
        <v>0.28</v>
      </c>
      <c r="F13" s="1">
        <v>0.25</v>
      </c>
      <c r="G13" s="1">
        <v>0.78</v>
      </c>
      <c r="H13" s="1">
        <v>0.61</v>
      </c>
      <c r="I13" s="1">
        <v>0.76</v>
      </c>
      <c r="J13" s="3">
        <v>0.87</v>
      </c>
      <c r="K13" s="1">
        <v>-0.16</v>
      </c>
      <c r="L13" s="1"/>
      <c r="M13" s="2">
        <v>0.0016</v>
      </c>
    </row>
    <row r="14" spans="1:13">
      <c r="A14" t="s">
        <v>273</v>
      </c>
      <c r="B14" s="3">
        <v>0.89</v>
      </c>
      <c r="C14" s="1">
        <v>0.83</v>
      </c>
      <c r="D14" s="1">
        <v>0.85</v>
      </c>
      <c r="E14" s="1">
        <v>0.42</v>
      </c>
      <c r="F14" s="1">
        <v>0.34</v>
      </c>
      <c r="G14" s="1">
        <v>0.87</v>
      </c>
      <c r="H14" s="1">
        <v>0.7</v>
      </c>
      <c r="I14" s="1">
        <v>0.84</v>
      </c>
      <c r="J14" s="1">
        <v>0.81</v>
      </c>
      <c r="K14" s="1">
        <v>-0.13</v>
      </c>
      <c r="L14" s="3">
        <v>0.99</v>
      </c>
      <c r="M14" s="1"/>
    </row>
    <row r="16" spans="1:1">
      <c r="A16" t="s">
        <v>274</v>
      </c>
    </row>
    <row r="17" spans="2:9">
      <c r="B17" t="s">
        <v>263</v>
      </c>
      <c r="C17" t="s">
        <v>264</v>
      </c>
      <c r="D17" t="s">
        <v>266</v>
      </c>
      <c r="E17" t="s">
        <v>267</v>
      </c>
      <c r="F17" t="s">
        <v>269</v>
      </c>
      <c r="G17" t="s">
        <v>270</v>
      </c>
      <c r="H17" t="s">
        <v>260</v>
      </c>
      <c r="I17" t="s">
        <v>261</v>
      </c>
    </row>
    <row r="18" spans="1:9">
      <c r="A18" t="s">
        <v>263</v>
      </c>
      <c r="B18" s="1"/>
      <c r="C18" s="1">
        <v>0.1183</v>
      </c>
      <c r="D18" s="1">
        <v>0.3293</v>
      </c>
      <c r="E18" s="1">
        <v>0.5591</v>
      </c>
      <c r="F18" s="2">
        <v>0.0063</v>
      </c>
      <c r="G18" s="1">
        <v>0.4329</v>
      </c>
      <c r="H18" s="1">
        <v>0.42</v>
      </c>
      <c r="I18" s="1">
        <v>0.4016</v>
      </c>
    </row>
    <row r="19" spans="1:9">
      <c r="A19" t="s">
        <v>264</v>
      </c>
      <c r="B19" s="1">
        <v>0.78</v>
      </c>
      <c r="C19" s="1"/>
      <c r="D19" s="1">
        <v>0.1469</v>
      </c>
      <c r="E19" s="1">
        <v>0.7786</v>
      </c>
      <c r="F19" s="1">
        <v>0.1047</v>
      </c>
      <c r="G19" s="1">
        <v>0.3565</v>
      </c>
      <c r="H19" s="1">
        <v>0.5587</v>
      </c>
      <c r="I19" s="1">
        <v>0.52</v>
      </c>
    </row>
    <row r="20" spans="1:9">
      <c r="A20" t="s">
        <v>266</v>
      </c>
      <c r="B20" s="1">
        <v>-0.56</v>
      </c>
      <c r="C20" s="1">
        <v>-0.75</v>
      </c>
      <c r="D20" s="1"/>
      <c r="E20" s="1">
        <v>0.8281</v>
      </c>
      <c r="F20" s="1">
        <v>0.4033</v>
      </c>
      <c r="G20" s="1">
        <v>0.3882</v>
      </c>
      <c r="H20" s="1">
        <v>0.9311</v>
      </c>
      <c r="I20" s="1">
        <v>0.9771</v>
      </c>
    </row>
    <row r="21" spans="1:9">
      <c r="A21" t="s">
        <v>267</v>
      </c>
      <c r="B21" s="1">
        <v>-0.35</v>
      </c>
      <c r="C21" s="1">
        <v>-0.17</v>
      </c>
      <c r="D21" s="1">
        <v>-0.14</v>
      </c>
      <c r="E21" s="1"/>
      <c r="F21" s="1">
        <v>0.7293</v>
      </c>
      <c r="G21" s="1">
        <v>0.2469</v>
      </c>
      <c r="H21" s="2">
        <v>0.0044</v>
      </c>
      <c r="I21" s="2">
        <v>0.0048</v>
      </c>
    </row>
    <row r="22" spans="1:9">
      <c r="A22" t="s">
        <v>269</v>
      </c>
      <c r="B22" s="3">
        <v>0.97</v>
      </c>
      <c r="C22" s="1">
        <v>0.8</v>
      </c>
      <c r="D22" s="1">
        <v>-0.49</v>
      </c>
      <c r="E22" s="1">
        <v>-0.21</v>
      </c>
      <c r="F22" s="1"/>
      <c r="G22" s="1">
        <v>0.2753</v>
      </c>
      <c r="H22" s="1">
        <v>0.5425</v>
      </c>
      <c r="I22" s="1">
        <v>0.5387</v>
      </c>
    </row>
    <row r="23" spans="1:9">
      <c r="A23" t="s">
        <v>270</v>
      </c>
      <c r="B23" s="1">
        <v>0.46</v>
      </c>
      <c r="C23" s="1">
        <v>0.53</v>
      </c>
      <c r="D23" s="1">
        <v>-0.5</v>
      </c>
      <c r="E23" s="1">
        <v>0.64</v>
      </c>
      <c r="F23" s="1">
        <v>0.61</v>
      </c>
      <c r="G23" s="1"/>
      <c r="H23" s="1">
        <v>0.4082</v>
      </c>
      <c r="I23" s="1">
        <v>0.4122</v>
      </c>
    </row>
    <row r="24" spans="1:9">
      <c r="A24" t="s">
        <v>260</v>
      </c>
      <c r="B24" s="1">
        <v>-0.47</v>
      </c>
      <c r="C24" s="1">
        <v>-0.35</v>
      </c>
      <c r="D24" s="1">
        <v>-0.05</v>
      </c>
      <c r="E24" s="3">
        <v>0.98</v>
      </c>
      <c r="F24" s="1">
        <v>-0.37</v>
      </c>
      <c r="G24" s="1">
        <v>0.48</v>
      </c>
      <c r="H24" s="1"/>
      <c r="I24" s="2">
        <v>0.0003</v>
      </c>
    </row>
    <row r="25" spans="1:16">
      <c r="A25" t="s">
        <v>273</v>
      </c>
      <c r="B25" s="1">
        <v>-0.49</v>
      </c>
      <c r="C25" s="1">
        <v>-0.39</v>
      </c>
      <c r="D25" s="1">
        <v>0.02</v>
      </c>
      <c r="E25" s="3">
        <v>0.97</v>
      </c>
      <c r="F25" s="1">
        <v>-0.37</v>
      </c>
      <c r="G25" s="1">
        <v>0.48</v>
      </c>
      <c r="H25" s="3">
        <v>1</v>
      </c>
      <c r="I25" s="1"/>
      <c r="O25">
        <v>4</v>
      </c>
      <c r="P2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S1</vt:lpstr>
      <vt:lpstr>Table S2</vt:lpstr>
      <vt:lpstr>Table S3</vt:lpstr>
      <vt:lpstr>Compositions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</dc:creator>
  <cp:lastModifiedBy>Ang</cp:lastModifiedBy>
  <dcterms:created xsi:type="dcterms:W3CDTF">2025-11-05T10:54:00Z</dcterms:created>
  <dcterms:modified xsi:type="dcterms:W3CDTF">2026-02-19T13:03:17Z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